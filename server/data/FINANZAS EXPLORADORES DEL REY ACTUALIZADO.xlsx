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ZAS EXPLORADORES DEL REYFC" sheetId="1" r:id="rId4"/>
    <sheet state="visible" name="SERVICIO SOCIAL " sheetId="2" r:id="rId5"/>
    <sheet state="visible" name="CAMPAMENTO &quot;RAICES&quot; 2026 - EXPL" sheetId="3" r:id="rId6"/>
    <sheet state="visible" name="CAMPAMENTO &quot;RAICES&quot; 2026 - SERV" sheetId="4" r:id="rId7"/>
    <sheet state="visible" name="SALDOS TOTALES " sheetId="5" r:id="rId8"/>
  </sheets>
  <definedNames/>
  <calcPr/>
  <extLst>
    <ext uri="GoogleSheetsCustomDataVersion2">
      <go:sheetsCustomData xmlns:go="http://customooxmlschemas.google.com/" r:id="rId9" roundtripDataChecksum="mmaijp3z1QYjofs8+jMq5U1QKokdxDsYIlLPJLL8iGg="/>
    </ext>
  </extLst>
</workbook>
</file>

<file path=xl/sharedStrings.xml><?xml version="1.0" encoding="utf-8"?>
<sst xmlns="http://schemas.openxmlformats.org/spreadsheetml/2006/main" count="263" uniqueCount="204">
  <si>
    <t>Finanzas del Destacamento Aguilas de Acero F.C</t>
  </si>
  <si>
    <t>INSCRIPCIONES DESTACAMENTO 2026</t>
  </si>
  <si>
    <t>Fecha</t>
  </si>
  <si>
    <t xml:space="preserve">Ingresos </t>
  </si>
  <si>
    <t>Egresos</t>
  </si>
  <si>
    <t xml:space="preserve">Concepto </t>
  </si>
  <si>
    <t xml:space="preserve">Nombre de comandantes </t>
  </si>
  <si>
    <t xml:space="preserve">Cancelado </t>
  </si>
  <si>
    <t>Servicio Social - 90 muchachos</t>
  </si>
  <si>
    <t>PASTOR SAMUEL MEJÍA PAYARES</t>
  </si>
  <si>
    <t>Capacitación para servicio social</t>
  </si>
  <si>
    <t>SARA VIRGILIA PATERNINA QUINTANA</t>
  </si>
  <si>
    <t>Agua</t>
  </si>
  <si>
    <t>SARAY BANQUETT GARCIA</t>
  </si>
  <si>
    <t>Pasajes para Heilen - Servicio social</t>
  </si>
  <si>
    <t>YASMIRY ISABEL HERAZO MERCADO</t>
  </si>
  <si>
    <t>Merienda para Carlos perez</t>
  </si>
  <si>
    <t>IBIS LORENA GUTIERREZ JIMENEZ</t>
  </si>
  <si>
    <t xml:space="preserve">Cartelera para campamento </t>
  </si>
  <si>
    <t>KATERINE GRACE LOPEZ PATERNINA</t>
  </si>
  <si>
    <t xml:space="preserve">Materiales de banderines para campamento  </t>
  </si>
  <si>
    <t xml:space="preserve">ANGELICA MARIA DE JESUS GIL TORRES </t>
  </si>
  <si>
    <t>Ofrendas para lideres del servicio social (Evelys,Elizabeth,Maria Victoria)</t>
  </si>
  <si>
    <t>MARIA VICTORIA VANEGAS GUTIERREZ</t>
  </si>
  <si>
    <t>Aporte para auditoria CBI (la luz)</t>
  </si>
  <si>
    <t>ESAU ABRAHAM BARRERA ORTEGA</t>
  </si>
  <si>
    <t xml:space="preserve">Pasajes para pastores invitados (campamento) </t>
  </si>
  <si>
    <t xml:space="preserve">EDUAR MIGUEL GOMEZ </t>
  </si>
  <si>
    <t>Anchetas premiación (Campamento)</t>
  </si>
  <si>
    <t>EVELIS  ASTRID OSORIO CONTRERAS</t>
  </si>
  <si>
    <t>Globos</t>
  </si>
  <si>
    <t xml:space="preserve">Nombre de exploradores </t>
  </si>
  <si>
    <t>Transportes</t>
  </si>
  <si>
    <t>SALVADOR MIRANDA LOPEZ</t>
  </si>
  <si>
    <t>Cartón industrial para el emblema</t>
  </si>
  <si>
    <t>ALLINE CONTRERAS MEJIA</t>
  </si>
  <si>
    <t>Cuarto pastores</t>
  </si>
  <si>
    <t>TIAGO JOSÉ CHALACA AGUIRRE</t>
  </si>
  <si>
    <t>Espiritu de patrulla</t>
  </si>
  <si>
    <t>SAMUEL DAVID CANTERO PEREZ</t>
  </si>
  <si>
    <t xml:space="preserve">Ofrendas pastores campamento </t>
  </si>
  <si>
    <t>AARON DAVID OVIEDO LOPEZ</t>
  </si>
  <si>
    <t>Fondos exploradores del rey (ACTIVIDADES)</t>
  </si>
  <si>
    <t>ELIAS VILLAMIZAR DE LA HOZ</t>
  </si>
  <si>
    <t>Fogata (Campamento )</t>
  </si>
  <si>
    <t>AARON DAVID BERMUDES KEY</t>
  </si>
  <si>
    <t xml:space="preserve">Certificados Servicio social </t>
  </si>
  <si>
    <t>SAMANTHA RAMIREZ PEREZ</t>
  </si>
  <si>
    <t xml:space="preserve">Emblema </t>
  </si>
  <si>
    <t>MARIPAZ JULIO PATIÑO</t>
  </si>
  <si>
    <t xml:space="preserve">Senderismo (Fondo exploradores) </t>
  </si>
  <si>
    <t>JUAN LUCAS ORTEGA BANQUET</t>
  </si>
  <si>
    <t>Agua servicio social</t>
  </si>
  <si>
    <t>CELESTE ISABEL OCAMPO QUINTERO</t>
  </si>
  <si>
    <t>merienda equipo servicio social</t>
  </si>
  <si>
    <t>OSTIN NISPERUZA RAMOS</t>
  </si>
  <si>
    <t>impuestos nequi</t>
  </si>
  <si>
    <t xml:space="preserve">cartelera clases </t>
  </si>
  <si>
    <t>KAROLL SOFIA CHALACA AGUIRRE</t>
  </si>
  <si>
    <t>moto</t>
  </si>
  <si>
    <t>SARA ISABEL PUERTAS PALENCIA</t>
  </si>
  <si>
    <t>drogas</t>
  </si>
  <si>
    <t>SAMARA MIRANDA LOPEZ</t>
  </si>
  <si>
    <t>materiales didactico</t>
  </si>
  <si>
    <t>MAURICIO ALBERTO JULIO PATIÑO</t>
  </si>
  <si>
    <t>Transporte señor Naudis Montes</t>
  </si>
  <si>
    <t>LUIS ALBERTO JULIO PATIÑO</t>
  </si>
  <si>
    <t xml:space="preserve">Donaciones de padres exploradores </t>
  </si>
  <si>
    <t>ALLEGRA CONTRERAS MEJÍA</t>
  </si>
  <si>
    <t>remesas para exploradores (campamento )</t>
  </si>
  <si>
    <t xml:space="preserve">ANDRES RETAMOZA ALFARO </t>
  </si>
  <si>
    <t>MIGUEL ARCANGEL ROMERO OLIVA</t>
  </si>
  <si>
    <t>20 metros cordon para corbatas</t>
  </si>
  <si>
    <t>ISNELLA LUCIA OLIVA OZUNA</t>
  </si>
  <si>
    <t xml:space="preserve"> clase rotativa Katherine </t>
  </si>
  <si>
    <t>Brazaletes patrulla de servicio (campamento)</t>
  </si>
  <si>
    <t xml:space="preserve">SANTIAGO VILLAMIZAR DE LA HOZ </t>
  </si>
  <si>
    <t>Palos para tabú (campamento)</t>
  </si>
  <si>
    <t xml:space="preserve">MARIA ANGEL GOMEZ ROAS </t>
  </si>
  <si>
    <t>paletas de madera para clases rotativas (campamento)</t>
  </si>
  <si>
    <t xml:space="preserve">KEREN GOMEZ ROAS </t>
  </si>
  <si>
    <t>CAMPAMENTO - JESUS ES MI SUPERHEROE (SUMATORIA DE PAGO POR 56 CHICOS)</t>
  </si>
  <si>
    <t xml:space="preserve">LUIS DIEGO CAMPUZANO VERGARA </t>
  </si>
  <si>
    <t xml:space="preserve">PAGO A GERIZIM </t>
  </si>
  <si>
    <t xml:space="preserve">INGRIS PATRICIA PÉREZ REYES </t>
  </si>
  <si>
    <t>reciclaje (papeles, cartón, plasticos etc.)</t>
  </si>
  <si>
    <t>MARIA ÁNGEL ARRIETA</t>
  </si>
  <si>
    <t xml:space="preserve">PARCHES PARA CAMPAMENTO  62 PARCHES </t>
  </si>
  <si>
    <t xml:space="preserve">VALERY SOFÍA PERÉZ BUELVAS </t>
  </si>
  <si>
    <t>Almuerzo comandantes</t>
  </si>
  <si>
    <t>Elías seguidores</t>
  </si>
  <si>
    <t xml:space="preserve">Tranferencia al ministerio </t>
  </si>
  <si>
    <t xml:space="preserve">MARCOS BERMUDEZ KEY </t>
  </si>
  <si>
    <t xml:space="preserve">Pago dulce por la CAPELLANA </t>
  </si>
  <si>
    <t>MELANY</t>
  </si>
  <si>
    <t>Servicio social</t>
  </si>
  <si>
    <t xml:space="preserve">ALVARO </t>
  </si>
  <si>
    <t>Aporte dulce por los comandantes</t>
  </si>
  <si>
    <t xml:space="preserve">PAGO AL DISTRITO </t>
  </si>
  <si>
    <t xml:space="preserve">Servicio Social </t>
  </si>
  <si>
    <t xml:space="preserve">Sudtotal </t>
  </si>
  <si>
    <t xml:space="preserve">Pago de diseño de navidad </t>
  </si>
  <si>
    <t xml:space="preserve">Servicio social </t>
  </si>
  <si>
    <t>EXPLORADORES DEL REY - AÑO 2026</t>
  </si>
  <si>
    <t xml:space="preserve">ENERO </t>
  </si>
  <si>
    <t xml:space="preserve">Fecha </t>
  </si>
  <si>
    <t>Ingresos</t>
  </si>
  <si>
    <t xml:space="preserve">Egresos </t>
  </si>
  <si>
    <t xml:space="preserve">Pago de carpeta para asistencia </t>
  </si>
  <si>
    <t xml:space="preserve">Pago de pintura para campamento </t>
  </si>
  <si>
    <t>FEBRERO</t>
  </si>
  <si>
    <t xml:space="preserve">FEBRERO </t>
  </si>
  <si>
    <t xml:space="preserve">Utiles de trabajo para exploradores </t>
  </si>
  <si>
    <t xml:space="preserve">3 paquetes de talonarios para facturar </t>
  </si>
  <si>
    <t>MARZO</t>
  </si>
  <si>
    <t>Día del hombre exploradores</t>
  </si>
  <si>
    <t>7 CERTIFICADOS CON SOBRE</t>
  </si>
  <si>
    <t xml:space="preserve">Ofrenda pastora Marjorie por conferencia </t>
  </si>
  <si>
    <t xml:space="preserve">Total en el ministerio </t>
  </si>
  <si>
    <t xml:space="preserve">FINANZAS SERVICIO SOCIAL </t>
  </si>
  <si>
    <t xml:space="preserve">NOMBRE COMPLETO </t>
  </si>
  <si>
    <t xml:space="preserve">NUMERO DE CONTACTO </t>
  </si>
  <si>
    <t xml:space="preserve">FECHAS DE ABONO </t>
  </si>
  <si>
    <t xml:space="preserve">SALDO ABONADO </t>
  </si>
  <si>
    <t xml:space="preserve">FECHA DE ABONO </t>
  </si>
  <si>
    <t>TOTAL</t>
  </si>
  <si>
    <t xml:space="preserve">Natasha Rojas Prens </t>
  </si>
  <si>
    <t xml:space="preserve">Manuel David Perez Hernandez </t>
  </si>
  <si>
    <t>Laura Peralta Cortes</t>
  </si>
  <si>
    <t xml:space="preserve">Michell Sofía Nuñez </t>
  </si>
  <si>
    <t>Valeria Isabel Alcalá Pérez</t>
  </si>
  <si>
    <t xml:space="preserve">Joel Andrés Villalba Sarria </t>
  </si>
  <si>
    <t xml:space="preserve">Millian David Coude Bedoya </t>
  </si>
  <si>
    <t xml:space="preserve">Yuliana Andrea Mercado Sierra </t>
  </si>
  <si>
    <t xml:space="preserve">Luis Felipe Pérez Sierra </t>
  </si>
  <si>
    <t>Joselyn Michell Sierra Prens</t>
  </si>
  <si>
    <t xml:space="preserve">Anderson David Suarez Caballero </t>
  </si>
  <si>
    <t xml:space="preserve">Mariana Valentina Tamara Barriento </t>
  </si>
  <si>
    <t>Ivanna Andrea Orozco Tovar</t>
  </si>
  <si>
    <t>Angela Lucia Velez Diaz</t>
  </si>
  <si>
    <t xml:space="preserve">Zharianella Gomez Guzman </t>
  </si>
  <si>
    <t xml:space="preserve">Sharol Dayana Ruiz Agamez </t>
  </si>
  <si>
    <t xml:space="preserve">Fernando Andres Campo Mendoza </t>
  </si>
  <si>
    <t xml:space="preserve">Juan Diego Artiaga Arrieta </t>
  </si>
  <si>
    <t xml:space="preserve">Jhonatan David Guevara Olivero </t>
  </si>
  <si>
    <t xml:space="preserve">Olga Lucia Reyes Romero </t>
  </si>
  <si>
    <t>Amy Hernandez Ayaso</t>
  </si>
  <si>
    <t>Angelica Ripoll Castillo</t>
  </si>
  <si>
    <t xml:space="preserve">Alexander Vergara Suarez </t>
  </si>
  <si>
    <t xml:space="preserve">Daniel Enrique Duran Pelufo </t>
  </si>
  <si>
    <t xml:space="preserve">Isaac David Olivera Osorio </t>
  </si>
  <si>
    <t xml:space="preserve">Camila Jimenez </t>
  </si>
  <si>
    <t xml:space="preserve">Daniela Sofia Rivera Ariza </t>
  </si>
  <si>
    <t xml:space="preserve">Kendry Luz Oliver Martelo </t>
  </si>
  <si>
    <t xml:space="preserve">Dylan José Peralta Arias </t>
  </si>
  <si>
    <t xml:space="preserve">Jhainer Enrique Mendoza Mendoza </t>
  </si>
  <si>
    <t xml:space="preserve">Juan Diego Dominguez Ramos </t>
  </si>
  <si>
    <t xml:space="preserve">Fredy Antonio Lazaro Rosario </t>
  </si>
  <si>
    <t xml:space="preserve">TOTAL INGRESADO </t>
  </si>
  <si>
    <t>CAMPAMENTO "RAICES" 2026</t>
  </si>
  <si>
    <t xml:space="preserve">ABONOS A GERIZIM </t>
  </si>
  <si>
    <t xml:space="preserve">TOTAL ABONADO </t>
  </si>
  <si>
    <t>Reporte</t>
  </si>
  <si>
    <t xml:space="preserve">Saldo </t>
  </si>
  <si>
    <t xml:space="preserve">AARÓN OVIEDO LOPEZ </t>
  </si>
  <si>
    <t xml:space="preserve">CAMPAMENTO CANCELADO A GERIZIM </t>
  </si>
  <si>
    <t>#VALUE!</t>
  </si>
  <si>
    <t xml:space="preserve">SAMARA MIRANDA LOPEZ </t>
  </si>
  <si>
    <t>ABONÓ A GERIZIM $110.000</t>
  </si>
  <si>
    <t xml:space="preserve">HERMANOS VILLAMIZAR DE LA HOZ </t>
  </si>
  <si>
    <t xml:space="preserve">HERMANOS KEY </t>
  </si>
  <si>
    <t xml:space="preserve">Total </t>
  </si>
  <si>
    <t>EDAD</t>
  </si>
  <si>
    <t>COLEGIO</t>
  </si>
  <si>
    <t>JORNADA</t>
  </si>
  <si>
    <t>GRADO</t>
  </si>
  <si>
    <t>Mariangel Contreras Ponnefz</t>
  </si>
  <si>
    <t xml:space="preserve">Talianis García Cochero </t>
  </si>
  <si>
    <t xml:space="preserve">Mariana Molina Paternina </t>
  </si>
  <si>
    <t>Isabela Pérez Rivera</t>
  </si>
  <si>
    <t xml:space="preserve">Jully Andrea Matute Lopez </t>
  </si>
  <si>
    <t>LENIS</t>
  </si>
  <si>
    <t>MATINAL</t>
  </si>
  <si>
    <t>9D</t>
  </si>
  <si>
    <t>Jose Luis Balza Suarez</t>
  </si>
  <si>
    <t>VESPERTINA</t>
  </si>
  <si>
    <t>9B</t>
  </si>
  <si>
    <t xml:space="preserve">Elias Benavides Tres Palacios </t>
  </si>
  <si>
    <t>9C</t>
  </si>
  <si>
    <t xml:space="preserve">Juan Pablo Baquero Salazar </t>
  </si>
  <si>
    <t>Daniela Lucia Mercado Perez</t>
  </si>
  <si>
    <t xml:space="preserve">Carlos DeJesús Parodi Lorduy </t>
  </si>
  <si>
    <t xml:space="preserve">Maria Belen Colon García </t>
  </si>
  <si>
    <t xml:space="preserve">Salomé Villalba Calderón </t>
  </si>
  <si>
    <t>Gabriela Amaya Perez</t>
  </si>
  <si>
    <t xml:space="preserve"> </t>
  </si>
  <si>
    <t xml:space="preserve">CONCEPTO </t>
  </si>
  <si>
    <t xml:space="preserve">SALDO </t>
  </si>
  <si>
    <t xml:space="preserve">SALDO EXPLORADORES </t>
  </si>
  <si>
    <t>INSCRIPCIONES</t>
  </si>
  <si>
    <t>CAMPAMENTO "RAICES" 2026 - EXPLORADORES</t>
  </si>
  <si>
    <t xml:space="preserve">CAMPAMENTO "RAICES" 2026 - SERVICIO SOCIAL </t>
  </si>
  <si>
    <t xml:space="preserve">SERVICIO SOCIAL </t>
  </si>
  <si>
    <t xml:space="preserve">TOTAL EN EL MINISTERIO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</si>
</sst>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\ #,##0;[Red]\-&quot;$&quot;\ #,##0"/>
    <numFmt numFmtId="165" formatCode="_-&quot;$&quot;\ * #,##0_-;\-&quot;$&quot;\ * #,##0_-;_-&quot;$&quot;\ * &quot;-&quot;??_-;_-@"/>
    <numFmt numFmtId="166" formatCode="D/M/YYYY"/>
    <numFmt numFmtId="167" formatCode="&quot;$&quot;#,##0_);[Red]\(&quot;$&quot;#,##0\)"/>
    <numFmt numFmtId="168" formatCode="dd/mm/yyyy"/>
    <numFmt numFmtId="169" formatCode="[$ $]#,##0"/>
    <numFmt numFmtId="170" formatCode="d/m/yyyy"/>
  </numFmts>
  <fonts count="12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0"/>
      <name val="Calibri"/>
    </font>
    <font>
      <sz val="12.0"/>
      <color theme="1"/>
      <name val="Calibri"/>
    </font>
    <font>
      <b/>
      <color theme="1"/>
      <name val="Calibri"/>
      <scheme val="minor"/>
    </font>
    <font>
      <b/>
      <sz val="11.0"/>
      <color rgb="FFFFFFFF"/>
      <name val="Calibri"/>
    </font>
    <font>
      <b/>
      <sz val="11.0"/>
      <color rgb="FF000000"/>
      <name val="Calibri"/>
    </font>
    <font>
      <i/>
      <color theme="1"/>
      <name val="Calibri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FFC000"/>
        <bgColor rgb="FFFFC000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C55A11"/>
        <bgColor rgb="FFC55A11"/>
      </patternFill>
    </fill>
    <fill>
      <patternFill patternType="solid">
        <fgColor rgb="FF8EAADB"/>
        <bgColor rgb="FF8EAADB"/>
      </patternFill>
    </fill>
    <fill>
      <patternFill patternType="solid">
        <fgColor rgb="FF93C47D"/>
        <bgColor rgb="FF93C47D"/>
      </patternFill>
    </fill>
    <fill>
      <patternFill patternType="solid">
        <fgColor rgb="FF2E75B5"/>
        <bgColor rgb="FF2E75B5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B7E1CD"/>
        <bgColor rgb="FFB7E1CD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8E7CC3"/>
        <bgColor rgb="FF8E7CC3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</fills>
  <borders count="1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2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1" fillId="5" fontId="3" numFmtId="0" xfId="0" applyBorder="1" applyFill="1" applyFont="1"/>
    <xf borderId="1" fillId="5" fontId="3" numFmtId="0" xfId="0" applyAlignment="1" applyBorder="1" applyFont="1">
      <alignment horizontal="center"/>
    </xf>
    <xf borderId="1" fillId="5" fontId="4" numFmtId="0" xfId="0" applyBorder="1" applyFont="1"/>
    <xf borderId="0" fillId="0" fontId="4" numFmtId="164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1" fillId="6" fontId="4" numFmtId="0" xfId="0" applyBorder="1" applyFill="1" applyFont="1"/>
    <xf borderId="0" fillId="0" fontId="5" numFmtId="0" xfId="0" applyFont="1"/>
    <xf borderId="0" fillId="0" fontId="4" numFmtId="165" xfId="0" applyFont="1" applyNumberFormat="1"/>
    <xf borderId="0" fillId="0" fontId="4" numFmtId="0" xfId="0" applyAlignment="1" applyFont="1">
      <alignment horizontal="center"/>
    </xf>
    <xf borderId="5" fillId="0" fontId="3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8" fillId="0" fontId="3" numFmtId="0" xfId="0" applyAlignment="1" applyBorder="1" applyFont="1">
      <alignment horizontal="center"/>
    </xf>
    <xf borderId="1" fillId="0" fontId="3" numFmtId="0" xfId="0" applyBorder="1" applyFont="1"/>
    <xf borderId="9" fillId="0" fontId="3" numFmtId="0" xfId="0" applyAlignment="1" applyBorder="1" applyFont="1">
      <alignment horizontal="center"/>
    </xf>
    <xf borderId="10" fillId="0" fontId="4" numFmtId="166" xfId="0" applyBorder="1" applyFont="1" applyNumberFormat="1"/>
    <xf borderId="11" fillId="0" fontId="4" numFmtId="164" xfId="0" applyAlignment="1" applyBorder="1" applyFont="1" applyNumberFormat="1">
      <alignment horizontal="center"/>
    </xf>
    <xf borderId="11" fillId="0" fontId="4" numFmtId="164" xfId="0" applyBorder="1" applyFont="1" applyNumberFormat="1"/>
    <xf borderId="10" fillId="0" fontId="4" numFmtId="0" xfId="0" applyBorder="1" applyFont="1"/>
    <xf borderId="11" fillId="0" fontId="4" numFmtId="0" xfId="0" applyBorder="1" applyFont="1"/>
    <xf borderId="0" fillId="0" fontId="4" numFmtId="0" xfId="0" applyFont="1"/>
    <xf borderId="12" fillId="0" fontId="6" numFmtId="0" xfId="0" applyAlignment="1" applyBorder="1" applyFont="1">
      <alignment horizontal="center"/>
    </xf>
    <xf borderId="13" fillId="0" fontId="6" numFmtId="0" xfId="0" applyAlignment="1" applyBorder="1" applyFont="1">
      <alignment horizontal="center"/>
    </xf>
    <xf borderId="14" fillId="0" fontId="6" numFmtId="164" xfId="0" applyAlignment="1" applyBorder="1" applyFont="1" applyNumberFormat="1">
      <alignment horizontal="center"/>
    </xf>
    <xf borderId="1" fillId="2" fontId="4" numFmtId="0" xfId="0" applyBorder="1" applyFont="1"/>
    <xf borderId="1" fillId="2" fontId="4" numFmtId="165" xfId="0" applyAlignment="1" applyBorder="1" applyFont="1" applyNumberFormat="1">
      <alignment horizontal="center"/>
    </xf>
    <xf borderId="1" fillId="2" fontId="4" numFmtId="165" xfId="0" applyBorder="1" applyFont="1" applyNumberFormat="1"/>
    <xf borderId="0" fillId="0" fontId="4" numFmtId="164" xfId="0" applyFont="1" applyNumberFormat="1"/>
    <xf borderId="0" fillId="0" fontId="4" numFmtId="167" xfId="0" applyFont="1" applyNumberFormat="1"/>
    <xf borderId="1" fillId="2" fontId="7" numFmtId="0" xfId="0" applyBorder="1" applyFont="1"/>
    <xf borderId="0" fillId="0" fontId="4" numFmtId="167" xfId="0" applyAlignment="1" applyFont="1" applyNumberFormat="1">
      <alignment horizontal="center"/>
    </xf>
    <xf borderId="1" fillId="7" fontId="4" numFmtId="0" xfId="0" applyBorder="1" applyFill="1" applyFont="1"/>
    <xf borderId="1" fillId="8" fontId="6" numFmtId="165" xfId="0" applyAlignment="1" applyBorder="1" applyFill="1" applyFont="1" applyNumberFormat="1">
      <alignment horizontal="center"/>
    </xf>
    <xf borderId="1" fillId="5" fontId="3" numFmtId="165" xfId="0" applyBorder="1" applyFont="1" applyNumberFormat="1"/>
    <xf borderId="0" fillId="0" fontId="4" numFmtId="166" xfId="0" applyAlignment="1" applyFont="1" applyNumberFormat="1">
      <alignment horizontal="center"/>
    </xf>
    <xf borderId="1" fillId="9" fontId="3" numFmtId="164" xfId="0" applyAlignment="1" applyBorder="1" applyFill="1" applyFont="1" applyNumberFormat="1">
      <alignment horizontal="center"/>
    </xf>
    <xf borderId="1" fillId="9" fontId="3" numFmtId="0" xfId="0" applyBorder="1" applyFont="1"/>
    <xf borderId="0" fillId="10" fontId="8" numFmtId="0" xfId="0" applyAlignment="1" applyFill="1" applyFont="1">
      <alignment horizontal="center" readingOrder="0"/>
    </xf>
    <xf borderId="1" fillId="11" fontId="6" numFmtId="0" xfId="0" applyAlignment="1" applyBorder="1" applyFill="1" applyFont="1">
      <alignment horizontal="center"/>
    </xf>
    <xf borderId="1" fillId="11" fontId="3" numFmtId="0" xfId="0" applyAlignment="1" applyBorder="1" applyFont="1">
      <alignment horizontal="center"/>
    </xf>
    <xf borderId="1" fillId="4" fontId="4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0" fontId="6" numFmtId="164" xfId="0" applyAlignment="1" applyBorder="1" applyFont="1" applyNumberFormat="1">
      <alignment horizontal="center"/>
    </xf>
    <xf borderId="0" fillId="0" fontId="5" numFmtId="168" xfId="0" applyAlignment="1" applyFont="1" applyNumberForma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12" fontId="5" numFmtId="0" xfId="0" applyAlignment="1" applyFill="1" applyFont="1">
      <alignment horizontal="center" readingOrder="0"/>
    </xf>
    <xf borderId="1" fillId="11" fontId="9" numFmtId="0" xfId="0" applyAlignment="1" applyBorder="1" applyFont="1">
      <alignment horizontal="center" readingOrder="0"/>
    </xf>
    <xf borderId="0" fillId="0" fontId="5" numFmtId="168" xfId="0" applyAlignment="1" applyFont="1" applyNumberFormat="1">
      <alignment readingOrder="0"/>
    </xf>
    <xf borderId="0" fillId="13" fontId="5" numFmtId="0" xfId="0" applyAlignment="1" applyFill="1" applyFont="1">
      <alignment horizontal="center" readingOrder="0"/>
    </xf>
    <xf borderId="1" fillId="0" fontId="3" numFmtId="165" xfId="0" applyBorder="1" applyFont="1" applyNumberFormat="1"/>
    <xf borderId="1" fillId="14" fontId="3" numFmtId="0" xfId="0" applyAlignment="1" applyBorder="1" applyFill="1" applyFont="1">
      <alignment horizontal="center"/>
    </xf>
    <xf borderId="1" fillId="14" fontId="10" numFmtId="165" xfId="0" applyBorder="1" applyFont="1" applyNumberFormat="1"/>
    <xf borderId="1" fillId="14" fontId="10" numFmtId="164" xfId="0" applyBorder="1" applyFont="1" applyNumberFormat="1"/>
    <xf borderId="1" fillId="0" fontId="3" numFmtId="0" xfId="0" applyAlignment="1" applyBorder="1" applyFont="1">
      <alignment horizontal="center"/>
    </xf>
    <xf borderId="1" fillId="0" fontId="4" numFmtId="0" xfId="0" applyBorder="1" applyFont="1"/>
    <xf borderId="1" fillId="0" fontId="4" numFmtId="165" xfId="0" applyBorder="1" applyFont="1" applyNumberFormat="1"/>
    <xf borderId="1" fillId="0" fontId="4" numFmtId="166" xfId="0" applyBorder="1" applyFont="1" applyNumberFormat="1"/>
    <xf borderId="0" fillId="0" fontId="4" numFmtId="166" xfId="0" applyFont="1" applyNumberFormat="1"/>
    <xf borderId="0" fillId="0" fontId="3" numFmtId="0" xfId="0" applyAlignment="1" applyFont="1">
      <alignment horizontal="center"/>
    </xf>
    <xf borderId="0" fillId="15" fontId="3" numFmtId="0" xfId="0" applyAlignment="1" applyFill="1" applyFont="1">
      <alignment horizontal="center"/>
    </xf>
    <xf borderId="0" fillId="0" fontId="8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9" xfId="0" applyAlignment="1" applyFont="1" applyNumberFormat="1">
      <alignment horizontal="center"/>
    </xf>
    <xf borderId="0" fillId="0" fontId="5" numFmtId="169" xfId="0" applyFont="1" applyNumberFormat="1"/>
    <xf borderId="0" fillId="10" fontId="5" numFmtId="0" xfId="0" applyAlignment="1" applyFont="1">
      <alignment readingOrder="0"/>
    </xf>
    <xf borderId="0" fillId="10" fontId="5" numFmtId="0" xfId="0" applyAlignment="1" applyFont="1">
      <alignment horizontal="center" readingOrder="0"/>
    </xf>
    <xf borderId="0" fillId="10" fontId="5" numFmtId="168" xfId="0" applyAlignment="1" applyFont="1" applyNumberFormat="1">
      <alignment horizontal="center" readingOrder="0"/>
    </xf>
    <xf borderId="0" fillId="10" fontId="5" numFmtId="169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7" fontId="5" numFmtId="0" xfId="0" applyAlignment="1" applyFont="1">
      <alignment readingOrder="0"/>
    </xf>
    <xf borderId="0" fillId="7" fontId="5" numFmtId="0" xfId="0" applyAlignment="1" applyFont="1">
      <alignment horizontal="center"/>
    </xf>
    <xf borderId="0" fillId="7" fontId="5" numFmtId="168" xfId="0" applyAlignment="1" applyFont="1" applyNumberFormat="1">
      <alignment horizontal="center" readingOrder="0"/>
    </xf>
    <xf borderId="0" fillId="7" fontId="5" numFmtId="169" xfId="0" applyAlignment="1" applyFont="1" applyNumberFormat="1">
      <alignment horizontal="center" readingOrder="0"/>
    </xf>
    <xf borderId="0" fillId="7" fontId="5" numFmtId="0" xfId="0" applyFont="1"/>
    <xf borderId="0" fillId="7" fontId="5" numFmtId="169" xfId="0" applyAlignment="1" applyFont="1" applyNumberFormat="1">
      <alignment horizontal="center"/>
    </xf>
    <xf borderId="0" fillId="7" fontId="5" numFmtId="169" xfId="0" applyFont="1" applyNumberFormat="1"/>
    <xf borderId="0" fillId="16" fontId="5" numFmtId="0" xfId="0" applyAlignment="1" applyFill="1" applyFont="1">
      <alignment readingOrder="0"/>
    </xf>
    <xf borderId="0" fillId="16" fontId="5" numFmtId="0" xfId="0" applyAlignment="1" applyFont="1">
      <alignment horizontal="center"/>
    </xf>
    <xf borderId="0" fillId="16" fontId="5" numFmtId="168" xfId="0" applyAlignment="1" applyFont="1" applyNumberFormat="1">
      <alignment horizontal="center" readingOrder="0"/>
    </xf>
    <xf borderId="0" fillId="16" fontId="5" numFmtId="169" xfId="0" applyAlignment="1" applyFont="1" applyNumberFormat="1">
      <alignment horizontal="center" readingOrder="0"/>
    </xf>
    <xf borderId="0" fillId="16" fontId="5" numFmtId="0" xfId="0" applyFont="1"/>
    <xf borderId="0" fillId="16" fontId="5" numFmtId="169" xfId="0" applyFont="1" applyNumberFormat="1"/>
    <xf borderId="0" fillId="16" fontId="5" numFmtId="0" xfId="0" applyAlignment="1" applyFont="1">
      <alignment horizontal="center" readingOrder="0"/>
    </xf>
    <xf borderId="0" fillId="7" fontId="5" numFmtId="0" xfId="0" applyAlignment="1" applyFont="1">
      <alignment horizontal="center" readingOrder="0"/>
    </xf>
    <xf borderId="0" fillId="7" fontId="5" numFmtId="168" xfId="0" applyAlignment="1" applyFont="1" applyNumberFormat="1">
      <alignment readingOrder="0"/>
    </xf>
    <xf borderId="0" fillId="0" fontId="5" numFmtId="169" xfId="0" applyAlignment="1" applyFont="1" applyNumberFormat="1">
      <alignment readingOrder="0"/>
    </xf>
    <xf borderId="0" fillId="17" fontId="8" numFmtId="0" xfId="0" applyAlignment="1" applyFill="1" applyFont="1">
      <alignment readingOrder="0"/>
    </xf>
    <xf borderId="0" fillId="17" fontId="8" numFmtId="0" xfId="0" applyFont="1"/>
    <xf borderId="0" fillId="17" fontId="8" numFmtId="169" xfId="0" applyAlignment="1" applyFont="1" applyNumberFormat="1">
      <alignment horizontal="center"/>
    </xf>
    <xf borderId="0" fillId="17" fontId="8" numFmtId="0" xfId="0" applyAlignment="1" applyFont="1">
      <alignment horizontal="center"/>
    </xf>
    <xf borderId="0" fillId="17" fontId="8" numFmtId="169" xfId="0" applyAlignment="1" applyFont="1" applyNumberFormat="1">
      <alignment horizontal="center"/>
    </xf>
    <xf borderId="0" fillId="0" fontId="8" numFmtId="0" xfId="0" applyFont="1"/>
    <xf borderId="0" fillId="18" fontId="8" numFmtId="0" xfId="0" applyAlignment="1" applyFill="1" applyFont="1">
      <alignment horizontal="center" readingOrder="0"/>
    </xf>
    <xf borderId="5" fillId="11" fontId="3" numFmtId="0" xfId="0" applyAlignment="1" applyBorder="1" applyFont="1">
      <alignment horizontal="center"/>
    </xf>
    <xf borderId="0" fillId="19" fontId="8" numFmtId="0" xfId="0" applyAlignment="1" applyFill="1" applyFont="1">
      <alignment horizontal="center" readingOrder="0"/>
    </xf>
    <xf borderId="0" fillId="19" fontId="8" numFmtId="0" xfId="0" applyAlignment="1" applyFont="1">
      <alignment readingOrder="0"/>
    </xf>
    <xf borderId="0" fillId="20" fontId="8" numFmtId="0" xfId="0" applyAlignment="1" applyFill="1" applyFont="1">
      <alignment horizontal="center" readingOrder="0"/>
    </xf>
    <xf borderId="8" fillId="21" fontId="3" numFmtId="0" xfId="0" applyAlignment="1" applyBorder="1" applyFill="1" applyFont="1">
      <alignment horizontal="center"/>
    </xf>
    <xf borderId="1" fillId="21" fontId="3" numFmtId="0" xfId="0" applyBorder="1" applyFont="1"/>
    <xf borderId="9" fillId="21" fontId="3" numFmtId="0" xfId="0" applyAlignment="1" applyBorder="1" applyFont="1">
      <alignment horizontal="center"/>
    </xf>
    <xf borderId="0" fillId="10" fontId="5" numFmtId="170" xfId="0" applyAlignment="1" applyFont="1" applyNumberFormat="1">
      <alignment readingOrder="0"/>
    </xf>
    <xf borderId="0" fillId="10" fontId="5" numFmtId="169" xfId="0" applyAlignment="1" applyFont="1" applyNumberFormat="1">
      <alignment readingOrder="0"/>
    </xf>
    <xf borderId="0" fillId="20" fontId="5" numFmtId="169" xfId="0" applyAlignment="1" applyFont="1" applyNumberFormat="1">
      <alignment horizontal="center"/>
    </xf>
    <xf borderId="0" fillId="10" fontId="5" numFmtId="168" xfId="0" applyAlignment="1" applyFont="1" applyNumberFormat="1">
      <alignment readingOrder="0"/>
    </xf>
    <xf borderId="0" fillId="10" fontId="5" numFmtId="169" xfId="0" applyFont="1" applyNumberFormat="1"/>
    <xf borderId="0" fillId="20" fontId="5" numFmtId="0" xfId="0" applyAlignment="1" applyFont="1">
      <alignment horizontal="center"/>
    </xf>
    <xf borderId="12" fillId="11" fontId="6" numFmtId="0" xfId="0" applyAlignment="1" applyBorder="1" applyFont="1">
      <alignment horizontal="center"/>
    </xf>
    <xf borderId="13" fillId="11" fontId="6" numFmtId="0" xfId="0" applyAlignment="1" applyBorder="1" applyFont="1">
      <alignment horizontal="center"/>
    </xf>
    <xf borderId="14" fillId="11" fontId="6" numFmtId="164" xfId="0" applyAlignment="1" applyBorder="1" applyFont="1" applyNumberFormat="1">
      <alignment horizontal="center"/>
    </xf>
    <xf borderId="0" fillId="22" fontId="8" numFmtId="0" xfId="0" applyAlignment="1" applyFill="1" applyFont="1">
      <alignment readingOrder="0"/>
    </xf>
    <xf borderId="0" fillId="22" fontId="5" numFmtId="0" xfId="0" applyFont="1"/>
    <xf borderId="0" fillId="22" fontId="8" numFmtId="169" xfId="0" applyFont="1" applyNumberFormat="1"/>
    <xf borderId="0" fillId="16" fontId="8" numFmtId="169" xfId="0" applyFont="1" applyNumberFormat="1"/>
    <xf borderId="0" fillId="0" fontId="5" numFmtId="170" xfId="0" applyAlignment="1" applyFont="1" applyNumberFormat="1">
      <alignment horizontal="center" readingOrder="0"/>
    </xf>
    <xf borderId="0" fillId="0" fontId="8" numFmtId="169" xfId="0" applyAlignment="1" applyFont="1" applyNumberForma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8" numFmtId="169" xfId="0" applyAlignment="1" applyFont="1" applyNumberFormat="1">
      <alignment horizontal="center" readingOrder="0"/>
    </xf>
    <xf borderId="0" fillId="23" fontId="5" numFmtId="169" xfId="0" applyAlignment="1" applyFill="1" applyFont="1" applyNumberFormat="1">
      <alignment horizontal="center"/>
    </xf>
    <xf borderId="0" fillId="24" fontId="8" numFmtId="0" xfId="0" applyAlignment="1" applyFill="1" applyFont="1">
      <alignment horizontal="center" readingOrder="0"/>
    </xf>
    <xf borderId="0" fillId="0" fontId="11" numFmtId="0" xfId="0" applyAlignment="1" applyFont="1">
      <alignment readingOrder="0"/>
    </xf>
    <xf borderId="0" fillId="0" fontId="11" numFmtId="169" xfId="0" applyFont="1" applyNumberFormat="1"/>
    <xf borderId="0" fillId="0" fontId="8" numFmtId="0" xfId="0" applyAlignment="1" applyFont="1">
      <alignment readingOrder="0"/>
    </xf>
    <xf borderId="0" fillId="0" fontId="8" numFmtId="169" xfId="0" applyFont="1" applyNumberForma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CAMPAMENTO &quot;RAICES&quot; 2026 - SERV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J9" displayName="Table_1" name="Table_1" id="1">
  <tableColumns count="1">
    <tableColumn name="Column1" id="1"/>
  </tableColumns>
  <tableStyleInfo name="CAMPAMENTO &quot;RAICES&quot; 2026 - SERV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86"/>
    <col customWidth="1" min="2" max="2" width="23.29"/>
    <col customWidth="1" min="3" max="3" width="23.0"/>
    <col customWidth="1" min="4" max="4" width="79.14"/>
    <col customWidth="1" min="5" max="5" width="45.29"/>
    <col customWidth="1" min="6" max="16" width="11.0"/>
    <col customWidth="1" min="17" max="17" width="43.29"/>
    <col customWidth="1" min="18" max="26" width="11.0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Q1" s="5" t="s">
        <v>1</v>
      </c>
      <c r="R1" s="3"/>
      <c r="S1" s="3"/>
      <c r="T1" s="4"/>
    </row>
    <row r="2">
      <c r="A2" s="6" t="s">
        <v>2</v>
      </c>
      <c r="B2" s="6" t="s">
        <v>3</v>
      </c>
      <c r="C2" s="6" t="s">
        <v>4</v>
      </c>
      <c r="D2" s="6" t="s">
        <v>5</v>
      </c>
      <c r="Q2" s="7" t="s">
        <v>6</v>
      </c>
      <c r="R2" s="8" t="s">
        <v>7</v>
      </c>
      <c r="S2" s="9"/>
      <c r="T2" s="9"/>
    </row>
    <row r="3">
      <c r="A3" s="10"/>
      <c r="B3" s="11">
        <v>2250000.0</v>
      </c>
      <c r="C3" s="11"/>
      <c r="D3" s="12" t="s">
        <v>8</v>
      </c>
      <c r="Q3" s="13" t="s">
        <v>9</v>
      </c>
      <c r="R3" s="14">
        <v>10000.0</v>
      </c>
    </row>
    <row r="4">
      <c r="A4" s="15"/>
      <c r="B4" s="11"/>
      <c r="C4" s="11">
        <v>40000.0</v>
      </c>
      <c r="D4" s="9" t="s">
        <v>10</v>
      </c>
      <c r="G4" s="16"/>
      <c r="H4" s="17"/>
      <c r="I4" s="17"/>
      <c r="J4" s="17"/>
      <c r="K4" s="18"/>
      <c r="Q4" s="13" t="s">
        <v>11</v>
      </c>
      <c r="R4" s="11">
        <v>10000.0</v>
      </c>
    </row>
    <row r="5">
      <c r="A5" s="15"/>
      <c r="B5" s="11"/>
      <c r="C5" s="11">
        <v>4000.0</v>
      </c>
      <c r="D5" s="9" t="s">
        <v>12</v>
      </c>
      <c r="G5" s="19"/>
      <c r="H5" s="20"/>
      <c r="I5" s="20"/>
      <c r="J5" s="20"/>
      <c r="K5" s="21"/>
      <c r="Q5" s="13" t="s">
        <v>13</v>
      </c>
      <c r="R5" s="11">
        <v>10000.0</v>
      </c>
    </row>
    <row r="6">
      <c r="A6" s="15"/>
      <c r="B6" s="11"/>
      <c r="C6" s="11">
        <v>20000.0</v>
      </c>
      <c r="D6" s="9" t="s">
        <v>14</v>
      </c>
      <c r="G6" s="22"/>
      <c r="K6" s="23"/>
      <c r="Q6" s="13" t="s">
        <v>15</v>
      </c>
      <c r="R6" s="11">
        <v>10000.0</v>
      </c>
    </row>
    <row r="7">
      <c r="A7" s="15"/>
      <c r="B7" s="11"/>
      <c r="C7" s="11">
        <v>5000.0</v>
      </c>
      <c r="D7" s="9" t="s">
        <v>16</v>
      </c>
      <c r="G7" s="22"/>
      <c r="K7" s="24"/>
      <c r="Q7" s="13" t="s">
        <v>17</v>
      </c>
      <c r="R7" s="11">
        <v>10000.0</v>
      </c>
    </row>
    <row r="8">
      <c r="A8" s="15"/>
      <c r="B8" s="11"/>
      <c r="C8" s="11">
        <v>30000.0</v>
      </c>
      <c r="D8" s="9" t="s">
        <v>18</v>
      </c>
      <c r="G8" s="25"/>
      <c r="K8" s="26"/>
      <c r="Q8" s="13" t="s">
        <v>19</v>
      </c>
      <c r="R8" s="11">
        <v>10000.0</v>
      </c>
    </row>
    <row r="9">
      <c r="A9" s="15"/>
      <c r="B9" s="11"/>
      <c r="C9" s="11">
        <v>100000.0</v>
      </c>
      <c r="D9" s="9" t="s">
        <v>20</v>
      </c>
      <c r="G9" s="25"/>
      <c r="K9" s="26"/>
      <c r="Q9" s="13" t="s">
        <v>21</v>
      </c>
      <c r="R9" s="11">
        <v>10000.0</v>
      </c>
    </row>
    <row r="10">
      <c r="A10" s="15"/>
      <c r="B10" s="11"/>
      <c r="C10" s="11">
        <v>150000.0</v>
      </c>
      <c r="D10" s="9" t="s">
        <v>22</v>
      </c>
      <c r="G10" s="25"/>
      <c r="K10" s="26"/>
      <c r="Q10" s="27" t="s">
        <v>23</v>
      </c>
      <c r="R10" s="11">
        <v>10000.0</v>
      </c>
    </row>
    <row r="11">
      <c r="A11" s="15"/>
      <c r="B11" s="11"/>
      <c r="C11" s="11">
        <v>50000.0</v>
      </c>
      <c r="D11" s="9" t="s">
        <v>24</v>
      </c>
      <c r="G11" s="25"/>
      <c r="K11" s="26"/>
      <c r="Q11" s="13" t="s">
        <v>25</v>
      </c>
      <c r="R11" s="11">
        <v>10000.0</v>
      </c>
    </row>
    <row r="12">
      <c r="A12" s="15"/>
      <c r="B12" s="11"/>
      <c r="C12" s="11">
        <v>400000.0</v>
      </c>
      <c r="D12" s="9" t="s">
        <v>26</v>
      </c>
      <c r="G12" s="25"/>
      <c r="K12" s="26"/>
      <c r="Q12" s="13" t="s">
        <v>27</v>
      </c>
      <c r="R12" s="11">
        <v>10000.0</v>
      </c>
    </row>
    <row r="13">
      <c r="A13" s="15"/>
      <c r="B13" s="11"/>
      <c r="C13" s="11">
        <v>200000.0</v>
      </c>
      <c r="D13" s="9" t="s">
        <v>28</v>
      </c>
      <c r="G13" s="25"/>
      <c r="K13" s="26"/>
      <c r="Q13" s="13" t="s">
        <v>29</v>
      </c>
      <c r="R13" s="11">
        <v>10000.0</v>
      </c>
    </row>
    <row r="14">
      <c r="A14" s="15"/>
      <c r="B14" s="11"/>
      <c r="C14" s="11">
        <v>50000.0</v>
      </c>
      <c r="D14" s="9" t="s">
        <v>30</v>
      </c>
      <c r="G14" s="25"/>
      <c r="K14" s="26"/>
      <c r="Q14" s="7" t="s">
        <v>31</v>
      </c>
      <c r="R14" s="8" t="s">
        <v>7</v>
      </c>
      <c r="S14" s="9"/>
      <c r="T14" s="9"/>
    </row>
    <row r="15">
      <c r="A15" s="15"/>
      <c r="B15" s="11"/>
      <c r="C15" s="11">
        <v>400000.0</v>
      </c>
      <c r="D15" s="9" t="s">
        <v>32</v>
      </c>
      <c r="G15" s="28"/>
      <c r="H15" s="29"/>
      <c r="I15" s="29"/>
      <c r="J15" s="29"/>
      <c r="K15" s="30"/>
      <c r="Q15" s="31" t="s">
        <v>33</v>
      </c>
      <c r="R15" s="32">
        <v>8000.0</v>
      </c>
    </row>
    <row r="16">
      <c r="A16" s="15"/>
      <c r="B16" s="11"/>
      <c r="C16" s="11">
        <v>9400.0</v>
      </c>
      <c r="D16" s="9" t="s">
        <v>34</v>
      </c>
      <c r="Q16" s="31" t="s">
        <v>35</v>
      </c>
      <c r="R16" s="32">
        <v>8000.0</v>
      </c>
    </row>
    <row r="17">
      <c r="A17" s="15"/>
      <c r="B17" s="11"/>
      <c r="C17" s="11">
        <v>420000.0</v>
      </c>
      <c r="D17" s="9" t="s">
        <v>36</v>
      </c>
      <c r="Q17" s="31" t="s">
        <v>37</v>
      </c>
      <c r="R17" s="32">
        <v>8000.0</v>
      </c>
    </row>
    <row r="18">
      <c r="A18" s="15"/>
      <c r="B18" s="11"/>
      <c r="C18" s="11">
        <v>80000.0</v>
      </c>
      <c r="D18" s="9" t="s">
        <v>38</v>
      </c>
      <c r="Q18" s="31" t="s">
        <v>39</v>
      </c>
      <c r="R18" s="32">
        <v>8000.0</v>
      </c>
    </row>
    <row r="19">
      <c r="A19" s="15"/>
      <c r="B19" s="11"/>
      <c r="C19" s="11">
        <v>500000.0</v>
      </c>
      <c r="D19" s="9" t="s">
        <v>40</v>
      </c>
      <c r="Q19" s="31" t="s">
        <v>41</v>
      </c>
      <c r="R19" s="32">
        <v>8000.0</v>
      </c>
    </row>
    <row r="20">
      <c r="A20" s="11"/>
      <c r="B20" s="11">
        <v>991050.0</v>
      </c>
      <c r="C20" s="11"/>
      <c r="D20" s="12" t="s">
        <v>42</v>
      </c>
      <c r="Q20" s="31" t="s">
        <v>43</v>
      </c>
      <c r="R20" s="32">
        <v>8000.0</v>
      </c>
    </row>
    <row r="21" ht="15.75" customHeight="1">
      <c r="A21" s="15"/>
      <c r="B21" s="11"/>
      <c r="C21" s="11">
        <v>50000.0</v>
      </c>
      <c r="D21" s="9" t="s">
        <v>44</v>
      </c>
      <c r="Q21" s="31" t="s">
        <v>45</v>
      </c>
      <c r="R21" s="32">
        <v>8000.0</v>
      </c>
    </row>
    <row r="22" ht="15.75" customHeight="1">
      <c r="A22" s="15"/>
      <c r="B22" s="11"/>
      <c r="C22" s="11">
        <v>80000.0</v>
      </c>
      <c r="D22" s="9" t="s">
        <v>46</v>
      </c>
      <c r="Q22" s="31" t="s">
        <v>47</v>
      </c>
      <c r="R22" s="32">
        <v>8000.0</v>
      </c>
    </row>
    <row r="23" ht="15.75" customHeight="1">
      <c r="A23" s="15"/>
      <c r="B23" s="11"/>
      <c r="C23" s="11">
        <v>40000.0</v>
      </c>
      <c r="D23" s="9" t="s">
        <v>48</v>
      </c>
      <c r="Q23" s="31" t="s">
        <v>49</v>
      </c>
      <c r="R23" s="32">
        <v>8000.0</v>
      </c>
    </row>
    <row r="24" ht="15.75" customHeight="1">
      <c r="A24" s="10"/>
      <c r="B24" s="11">
        <v>80000.0</v>
      </c>
      <c r="C24" s="11"/>
      <c r="D24" s="12" t="s">
        <v>50</v>
      </c>
      <c r="Q24" s="31" t="s">
        <v>51</v>
      </c>
      <c r="R24" s="32">
        <v>8000.0</v>
      </c>
    </row>
    <row r="25" ht="15.75" customHeight="1">
      <c r="B25" s="11"/>
      <c r="C25" s="11">
        <v>10000.0</v>
      </c>
      <c r="D25" s="9" t="s">
        <v>52</v>
      </c>
      <c r="Q25" s="31" t="s">
        <v>53</v>
      </c>
      <c r="R25" s="32">
        <v>8000.0</v>
      </c>
    </row>
    <row r="26" ht="15.75" customHeight="1">
      <c r="B26" s="11"/>
      <c r="C26" s="11">
        <v>50000.0</v>
      </c>
      <c r="D26" s="9" t="s">
        <v>54</v>
      </c>
      <c r="Q26" s="31" t="s">
        <v>55</v>
      </c>
      <c r="R26" s="32">
        <v>8000.0</v>
      </c>
    </row>
    <row r="27" ht="15.75" customHeight="1">
      <c r="B27" s="11"/>
      <c r="C27" s="11">
        <v>30000.0</v>
      </c>
      <c r="D27" s="9" t="s">
        <v>56</v>
      </c>
      <c r="R27" s="11"/>
    </row>
    <row r="28" ht="15.75" customHeight="1">
      <c r="B28" s="11"/>
      <c r="C28" s="11">
        <v>12000.0</v>
      </c>
      <c r="D28" s="9" t="s">
        <v>57</v>
      </c>
      <c r="Q28" s="31" t="s">
        <v>58</v>
      </c>
      <c r="R28" s="33">
        <v>8000.0</v>
      </c>
    </row>
    <row r="29" ht="15.75" customHeight="1">
      <c r="B29" s="11"/>
      <c r="C29" s="11">
        <v>10000.0</v>
      </c>
      <c r="D29" s="9" t="s">
        <v>59</v>
      </c>
      <c r="Q29" s="31" t="s">
        <v>60</v>
      </c>
      <c r="R29" s="33">
        <v>8000.0</v>
      </c>
    </row>
    <row r="30" ht="15.75" customHeight="1">
      <c r="B30" s="11"/>
      <c r="C30" s="11">
        <v>19800.0</v>
      </c>
      <c r="D30" s="9" t="s">
        <v>61</v>
      </c>
      <c r="Q30" s="31" t="s">
        <v>62</v>
      </c>
      <c r="R30" s="33">
        <v>8000.0</v>
      </c>
    </row>
    <row r="31" ht="15.75" customHeight="1">
      <c r="B31" s="11"/>
      <c r="C31" s="11">
        <v>45700.0</v>
      </c>
      <c r="D31" s="9" t="s">
        <v>63</v>
      </c>
      <c r="E31" s="15"/>
      <c r="Q31" s="31" t="s">
        <v>64</v>
      </c>
      <c r="R31" s="33">
        <v>8000.0</v>
      </c>
    </row>
    <row r="32" ht="15.75" customHeight="1">
      <c r="B32" s="11"/>
      <c r="C32" s="11">
        <v>80000.0</v>
      </c>
      <c r="D32" s="9" t="s">
        <v>65</v>
      </c>
      <c r="E32" s="15"/>
      <c r="Q32" s="31" t="s">
        <v>66</v>
      </c>
      <c r="R32" s="33">
        <v>8000.0</v>
      </c>
    </row>
    <row r="33" ht="15.75" customHeight="1">
      <c r="A33" s="34"/>
      <c r="B33" s="11">
        <v>90000.0</v>
      </c>
      <c r="C33" s="11"/>
      <c r="D33" s="12" t="s">
        <v>67</v>
      </c>
      <c r="E33" s="15"/>
      <c r="Q33" s="31" t="s">
        <v>68</v>
      </c>
      <c r="R33" s="33">
        <v>8000.0</v>
      </c>
    </row>
    <row r="34" ht="15.75" customHeight="1">
      <c r="B34" s="11"/>
      <c r="C34" s="11">
        <v>31400.0</v>
      </c>
      <c r="D34" s="9" t="s">
        <v>69</v>
      </c>
      <c r="E34" s="15"/>
      <c r="Q34" s="31" t="s">
        <v>70</v>
      </c>
      <c r="R34" s="33">
        <v>8000.0</v>
      </c>
    </row>
    <row r="35" ht="15.75" customHeight="1">
      <c r="B35" s="11"/>
      <c r="C35" s="11">
        <v>48500.0</v>
      </c>
      <c r="D35" s="9" t="s">
        <v>69</v>
      </c>
      <c r="E35" s="15"/>
      <c r="Q35" s="31" t="s">
        <v>71</v>
      </c>
      <c r="R35" s="33">
        <v>8000.0</v>
      </c>
    </row>
    <row r="36" ht="15.75" customHeight="1">
      <c r="B36" s="11"/>
      <c r="C36" s="11">
        <v>12000.0</v>
      </c>
      <c r="D36" s="9" t="s">
        <v>72</v>
      </c>
      <c r="Q36" s="31" t="s">
        <v>73</v>
      </c>
      <c r="R36" s="33">
        <v>8000.0</v>
      </c>
    </row>
    <row r="37" ht="15.75" customHeight="1">
      <c r="B37" s="11"/>
      <c r="C37" s="11">
        <v>38000.0</v>
      </c>
      <c r="D37" s="9" t="s">
        <v>74</v>
      </c>
      <c r="Q37" s="31" t="s">
        <v>53</v>
      </c>
      <c r="R37" s="33">
        <v>8000.0</v>
      </c>
    </row>
    <row r="38" ht="15.75" customHeight="1">
      <c r="B38" s="11"/>
      <c r="C38" s="11">
        <v>14500.0</v>
      </c>
      <c r="D38" s="9" t="s">
        <v>75</v>
      </c>
      <c r="Q38" s="31" t="s">
        <v>76</v>
      </c>
      <c r="R38" s="33">
        <v>8000.0</v>
      </c>
    </row>
    <row r="39" ht="15.75" customHeight="1">
      <c r="B39" s="11"/>
      <c r="C39" s="11">
        <v>25000.0</v>
      </c>
      <c r="D39" s="9" t="s">
        <v>77</v>
      </c>
      <c r="Q39" s="31" t="s">
        <v>78</v>
      </c>
      <c r="R39" s="33">
        <v>8000.0</v>
      </c>
    </row>
    <row r="40" ht="15.75" customHeight="1">
      <c r="B40" s="11"/>
      <c r="C40" s="11">
        <v>14000.0</v>
      </c>
      <c r="D40" s="9" t="s">
        <v>79</v>
      </c>
      <c r="Q40" s="31" t="s">
        <v>80</v>
      </c>
      <c r="R40" s="33">
        <v>8000.0</v>
      </c>
    </row>
    <row r="41" ht="15.75" customHeight="1">
      <c r="A41" s="35"/>
      <c r="B41" s="11">
        <v>1.12E7</v>
      </c>
      <c r="C41" s="11"/>
      <c r="D41" s="12" t="s">
        <v>81</v>
      </c>
      <c r="Q41" s="36" t="s">
        <v>82</v>
      </c>
      <c r="R41" s="33">
        <v>8000.0</v>
      </c>
    </row>
    <row r="42" ht="15.75" customHeight="1">
      <c r="B42" s="11"/>
      <c r="C42" s="11">
        <v>1.12E7</v>
      </c>
      <c r="D42" s="9" t="s">
        <v>83</v>
      </c>
      <c r="Q42" s="31" t="s">
        <v>84</v>
      </c>
      <c r="R42" s="33">
        <v>8000.0</v>
      </c>
    </row>
    <row r="43" ht="15.75" customHeight="1">
      <c r="A43" s="37"/>
      <c r="B43" s="11">
        <v>250000.0</v>
      </c>
      <c r="C43" s="11"/>
      <c r="D43" s="12" t="s">
        <v>85</v>
      </c>
      <c r="Q43" s="31" t="s">
        <v>86</v>
      </c>
      <c r="R43" s="33">
        <v>8000.0</v>
      </c>
    </row>
    <row r="44" ht="15.75" customHeight="1">
      <c r="B44" s="11"/>
      <c r="C44" s="11">
        <v>310000.0</v>
      </c>
      <c r="D44" s="9" t="s">
        <v>87</v>
      </c>
      <c r="Q44" s="31" t="s">
        <v>88</v>
      </c>
      <c r="R44" s="33">
        <v>8000.0</v>
      </c>
    </row>
    <row r="45" ht="15.75" customHeight="1">
      <c r="B45" s="11"/>
      <c r="C45" s="11">
        <v>50000.0</v>
      </c>
      <c r="D45" s="9" t="s">
        <v>89</v>
      </c>
      <c r="Q45" s="13" t="s">
        <v>90</v>
      </c>
      <c r="R45" s="14">
        <v>8008.0</v>
      </c>
    </row>
    <row r="46" ht="15.75" customHeight="1">
      <c r="A46" s="10"/>
      <c r="B46" s="11">
        <v>32400.0</v>
      </c>
      <c r="C46" s="11"/>
      <c r="D46" s="38" t="s">
        <v>91</v>
      </c>
      <c r="Q46" s="31" t="s">
        <v>92</v>
      </c>
      <c r="R46" s="33">
        <v>8000.0</v>
      </c>
    </row>
    <row r="47" ht="15.75" customHeight="1">
      <c r="A47" s="10"/>
      <c r="B47" s="11">
        <v>20000.0</v>
      </c>
      <c r="C47" s="11"/>
      <c r="D47" s="38" t="s">
        <v>93</v>
      </c>
      <c r="Q47" s="31" t="s">
        <v>94</v>
      </c>
      <c r="R47" s="33">
        <v>8000.0</v>
      </c>
    </row>
    <row r="48" ht="15.75" customHeight="1">
      <c r="A48" s="10"/>
      <c r="B48" s="11">
        <v>10600.0</v>
      </c>
      <c r="C48" s="11"/>
      <c r="D48" s="38" t="s">
        <v>95</v>
      </c>
      <c r="Q48" s="31" t="s">
        <v>96</v>
      </c>
      <c r="R48" s="33">
        <v>16000.0</v>
      </c>
    </row>
    <row r="49" ht="15.75" customHeight="1">
      <c r="A49" s="10"/>
      <c r="B49" s="11">
        <v>51200.0</v>
      </c>
      <c r="C49" s="11"/>
      <c r="D49" s="38" t="s">
        <v>97</v>
      </c>
      <c r="Q49" s="39" t="s">
        <v>98</v>
      </c>
      <c r="R49" s="39"/>
      <c r="S49" s="39">
        <v>280000.0</v>
      </c>
    </row>
    <row r="50" ht="15.75" customHeight="1">
      <c r="A50" s="10"/>
      <c r="B50" s="11">
        <v>50000.0</v>
      </c>
      <c r="C50" s="11"/>
      <c r="D50" s="38" t="s">
        <v>99</v>
      </c>
      <c r="Q50" s="8" t="s">
        <v>100</v>
      </c>
      <c r="R50" s="40">
        <f>SUM(R3:R48)</f>
        <v>382008</v>
      </c>
      <c r="S50" s="40">
        <f>SUM(S49)</f>
        <v>280000</v>
      </c>
      <c r="T50" s="40">
        <f>R50-S50</f>
        <v>102008</v>
      </c>
    </row>
    <row r="51" ht="15.75" customHeight="1">
      <c r="A51" s="41">
        <v>45970.0</v>
      </c>
      <c r="B51" s="11">
        <v>25000.0</v>
      </c>
      <c r="C51" s="11"/>
      <c r="D51" s="38" t="s">
        <v>99</v>
      </c>
    </row>
    <row r="52" ht="15.75" customHeight="1">
      <c r="A52" s="41">
        <v>45970.0</v>
      </c>
      <c r="B52" s="11">
        <v>24500.0</v>
      </c>
      <c r="C52" s="11"/>
      <c r="D52" s="38" t="s">
        <v>99</v>
      </c>
    </row>
    <row r="53" ht="15.75" customHeight="1">
      <c r="A53" s="41">
        <v>45970.0</v>
      </c>
      <c r="B53" s="11"/>
      <c r="C53" s="11">
        <v>24500.0</v>
      </c>
      <c r="D53" s="9" t="s">
        <v>101</v>
      </c>
    </row>
    <row r="54" ht="15.75" customHeight="1">
      <c r="A54" s="41">
        <v>45983.0</v>
      </c>
      <c r="B54" s="11">
        <v>25000.0</v>
      </c>
      <c r="C54" s="11"/>
      <c r="D54" s="38" t="s">
        <v>102</v>
      </c>
    </row>
    <row r="55" ht="15.75" customHeight="1">
      <c r="A55" s="41">
        <v>45992.0</v>
      </c>
      <c r="B55" s="11">
        <v>280000.0</v>
      </c>
      <c r="C55" s="11"/>
      <c r="D55" s="38" t="s">
        <v>102</v>
      </c>
    </row>
    <row r="56" ht="15.75" customHeight="1">
      <c r="A56" s="42"/>
      <c r="B56" s="42">
        <f t="shared" ref="B56:C56" si="1">SUM(B3:B55)</f>
        <v>15379750</v>
      </c>
      <c r="C56" s="42">
        <f t="shared" si="1"/>
        <v>14653800</v>
      </c>
      <c r="D56" s="43"/>
      <c r="E56" s="42">
        <f>B56-C56</f>
        <v>725950</v>
      </c>
    </row>
    <row r="57" ht="15.75" customHeight="1">
      <c r="A57" s="44" t="s">
        <v>103</v>
      </c>
    </row>
    <row r="58" ht="15.75" customHeight="1">
      <c r="A58" s="45" t="s">
        <v>104</v>
      </c>
      <c r="B58" s="45" t="s">
        <v>104</v>
      </c>
      <c r="C58" s="45" t="s">
        <v>104</v>
      </c>
      <c r="D58" s="45" t="s">
        <v>104</v>
      </c>
    </row>
    <row r="59" ht="15.75" customHeight="1">
      <c r="A59" s="46" t="s">
        <v>105</v>
      </c>
      <c r="B59" s="46" t="s">
        <v>106</v>
      </c>
      <c r="C59" s="46" t="s">
        <v>107</v>
      </c>
      <c r="D59" s="46" t="s">
        <v>5</v>
      </c>
    </row>
    <row r="60" ht="15.75" customHeight="1">
      <c r="A60" s="41">
        <v>46053.0</v>
      </c>
      <c r="B60" s="10">
        <f>E56</f>
        <v>725950</v>
      </c>
      <c r="C60" s="10">
        <v>16000.0</v>
      </c>
      <c r="D60" s="47" t="s">
        <v>108</v>
      </c>
    </row>
    <row r="61" ht="15.75" customHeight="1">
      <c r="A61" s="41">
        <v>46053.0</v>
      </c>
      <c r="C61" s="10">
        <v>45000.0</v>
      </c>
      <c r="D61" s="47" t="s">
        <v>109</v>
      </c>
    </row>
    <row r="62" ht="15.75" customHeight="1">
      <c r="A62" s="48"/>
      <c r="B62" s="49">
        <f>SUM(B60)</f>
        <v>725950</v>
      </c>
      <c r="C62" s="49">
        <f>SUM(C60:C61)</f>
        <v>61000</v>
      </c>
      <c r="D62" s="49">
        <f>B62-C62</f>
        <v>664950</v>
      </c>
    </row>
    <row r="63" ht="15.75" customHeight="1">
      <c r="A63" s="45" t="s">
        <v>110</v>
      </c>
      <c r="B63" s="45"/>
      <c r="C63" s="45" t="s">
        <v>111</v>
      </c>
      <c r="D63" s="45" t="s">
        <v>111</v>
      </c>
    </row>
    <row r="64" ht="15.75" customHeight="1">
      <c r="A64" s="46" t="s">
        <v>105</v>
      </c>
      <c r="B64" s="46"/>
      <c r="C64" s="46" t="s">
        <v>107</v>
      </c>
      <c r="D64" s="46" t="s">
        <v>5</v>
      </c>
    </row>
    <row r="65" ht="15.75" customHeight="1">
      <c r="A65" s="41">
        <v>46061.0</v>
      </c>
      <c r="B65" s="10">
        <v>24000.0</v>
      </c>
    </row>
    <row r="66" ht="15.75" customHeight="1">
      <c r="A66" s="50">
        <v>46074.0</v>
      </c>
      <c r="C66" s="51">
        <v>120000.0</v>
      </c>
      <c r="D66" s="52" t="s">
        <v>112</v>
      </c>
    </row>
    <row r="67" ht="15.75" customHeight="1">
      <c r="A67" s="50">
        <v>46079.0</v>
      </c>
      <c r="C67" s="51">
        <v>10500.0</v>
      </c>
      <c r="D67" s="52" t="s">
        <v>113</v>
      </c>
    </row>
    <row r="68" ht="15.75" customHeight="1">
      <c r="A68" s="53" t="s">
        <v>114</v>
      </c>
      <c r="B68" s="53"/>
      <c r="C68" s="53" t="s">
        <v>114</v>
      </c>
      <c r="D68" s="53" t="s">
        <v>114</v>
      </c>
    </row>
    <row r="69" ht="15.75" customHeight="1">
      <c r="A69" s="54">
        <v>46100.0</v>
      </c>
      <c r="C69" s="51">
        <v>30000.0</v>
      </c>
      <c r="D69" s="52" t="s">
        <v>115</v>
      </c>
    </row>
    <row r="70">
      <c r="A70" s="54">
        <v>46107.0</v>
      </c>
      <c r="C70" s="51">
        <v>15000.0</v>
      </c>
      <c r="D70" s="55" t="s">
        <v>116</v>
      </c>
    </row>
    <row r="71">
      <c r="A71" s="54">
        <v>46110.0</v>
      </c>
      <c r="C71" s="51">
        <v>30000.0</v>
      </c>
      <c r="D71" s="55" t="s">
        <v>117</v>
      </c>
    </row>
    <row r="72">
      <c r="A72" s="54">
        <v>46103.0</v>
      </c>
      <c r="B72" s="51">
        <v>369000.0</v>
      </c>
    </row>
    <row r="74" ht="15.75" customHeight="1">
      <c r="E74" s="56"/>
    </row>
    <row r="75" ht="15.75" customHeight="1"/>
    <row r="76" ht="15.75" customHeight="1"/>
    <row r="77" ht="15.75" customHeight="1"/>
    <row r="78" ht="15.75" customHeight="1"/>
    <row r="79" ht="15.75" customHeight="1"/>
    <row r="81" ht="15.75" customHeight="1"/>
    <row r="82" ht="15.75" customHeight="1"/>
    <row r="83" ht="15.75" customHeight="1">
      <c r="A83" s="57" t="s">
        <v>118</v>
      </c>
      <c r="B83" s="58">
        <f>B60+B65+B69+B70+B71+B73+B74+B75+B76+B77+B78+B79+B80+B81+B72</f>
        <v>1118950</v>
      </c>
      <c r="C83" s="59">
        <f>C60+C61+C66+C67+C69+C71+C70</f>
        <v>266500</v>
      </c>
      <c r="D83" s="58">
        <f>B83-C83</f>
        <v>852450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>
      <c r="A110" s="60"/>
      <c r="B110" s="60"/>
      <c r="C110" s="60"/>
      <c r="D110" s="60"/>
    </row>
    <row r="111" ht="15.75" customHeight="1">
      <c r="A111" s="27"/>
      <c r="B111" s="11"/>
    </row>
    <row r="112" ht="15.75" customHeight="1">
      <c r="A112" s="61"/>
      <c r="B112" s="62"/>
      <c r="C112" s="63"/>
      <c r="D112" s="60"/>
    </row>
    <row r="113" ht="15.75" customHeight="1">
      <c r="A113" s="27"/>
      <c r="B113" s="14"/>
      <c r="C113" s="64"/>
      <c r="D113" s="65"/>
    </row>
    <row r="114" ht="15.75" customHeight="1">
      <c r="A114" s="27"/>
      <c r="B114" s="14"/>
      <c r="C114" s="64"/>
    </row>
    <row r="115" ht="15.75" customHeight="1">
      <c r="A115" s="27"/>
      <c r="B115" s="14"/>
    </row>
    <row r="116" ht="15.75" customHeight="1">
      <c r="B116" s="14"/>
    </row>
    <row r="117" ht="15.75" customHeight="1">
      <c r="A117" s="60"/>
      <c r="B117" s="56"/>
      <c r="C117" s="61"/>
      <c r="D117" s="61"/>
    </row>
    <row r="118" ht="15.75" customHeight="1">
      <c r="A118" s="60"/>
      <c r="B118" s="61"/>
      <c r="C118" s="61"/>
      <c r="D118" s="56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B1:O1"/>
    <mergeCell ref="Q1:T1"/>
    <mergeCell ref="G4:K4"/>
    <mergeCell ref="A57:E57"/>
  </mergeCells>
  <conditionalFormatting sqref="B83:D83">
    <cfRule type="notContainsBlanks" dxfId="0" priority="1">
      <formula>LEN(TRIM(B83))&gt;0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0.71"/>
    <col customWidth="1" min="3" max="3" width="20.86"/>
    <col customWidth="1" min="4" max="26" width="10.71"/>
  </cols>
  <sheetData>
    <row r="1">
      <c r="A1" s="66" t="s">
        <v>119</v>
      </c>
    </row>
    <row r="2">
      <c r="A2" s="65" t="s">
        <v>120</v>
      </c>
      <c r="D2" s="67" t="s">
        <v>121</v>
      </c>
      <c r="G2" s="65" t="s">
        <v>122</v>
      </c>
      <c r="J2" s="67" t="s">
        <v>123</v>
      </c>
      <c r="L2" s="67" t="s">
        <v>124</v>
      </c>
      <c r="N2" s="67" t="s">
        <v>123</v>
      </c>
      <c r="P2" s="67" t="s">
        <v>123</v>
      </c>
      <c r="R2" s="67" t="s">
        <v>125</v>
      </c>
    </row>
    <row r="3">
      <c r="D3" s="68"/>
      <c r="G3" s="50"/>
      <c r="J3" s="51"/>
      <c r="N3" s="69"/>
      <c r="R3" s="70">
        <f>SUM(J3)</f>
        <v>0</v>
      </c>
    </row>
    <row r="4">
      <c r="D4" s="68"/>
      <c r="G4" s="50"/>
      <c r="J4" s="51"/>
      <c r="N4" s="69"/>
    </row>
    <row r="5">
      <c r="A5" s="71" t="s">
        <v>126</v>
      </c>
      <c r="D5" s="72">
        <v>3.0148557331E10</v>
      </c>
      <c r="G5" s="73">
        <v>46068.0</v>
      </c>
      <c r="J5" s="74">
        <v>28000.0</v>
      </c>
      <c r="N5" s="69"/>
      <c r="R5" s="70">
        <f>SUM(J5)</f>
        <v>28000</v>
      </c>
    </row>
    <row r="6">
      <c r="D6" s="68"/>
      <c r="G6" s="50"/>
      <c r="J6" s="69"/>
      <c r="N6" s="69"/>
    </row>
    <row r="7">
      <c r="A7" s="75" t="s">
        <v>127</v>
      </c>
      <c r="D7" s="68">
        <v>3.215101114E9</v>
      </c>
      <c r="G7" s="50">
        <v>46068.0</v>
      </c>
      <c r="J7" s="51">
        <v>10000.0</v>
      </c>
      <c r="N7" s="69"/>
      <c r="R7" s="70">
        <f t="shared" ref="R7:R8" si="1">J7</f>
        <v>10000</v>
      </c>
    </row>
    <row r="8">
      <c r="A8" s="71" t="s">
        <v>128</v>
      </c>
      <c r="D8" s="72">
        <v>3.104387454E9</v>
      </c>
      <c r="G8" s="73">
        <v>46068.0</v>
      </c>
      <c r="J8" s="74">
        <v>28000.0</v>
      </c>
      <c r="N8" s="69"/>
      <c r="R8" s="70">
        <f t="shared" si="1"/>
        <v>28000</v>
      </c>
    </row>
    <row r="9">
      <c r="A9" s="75" t="s">
        <v>129</v>
      </c>
      <c r="D9" s="76"/>
      <c r="G9" s="50">
        <v>46068.0</v>
      </c>
      <c r="J9" s="51">
        <v>5000.0</v>
      </c>
      <c r="N9" s="69"/>
      <c r="R9" s="70">
        <f>J9+N9</f>
        <v>5000</v>
      </c>
    </row>
    <row r="10">
      <c r="A10" s="75" t="s">
        <v>130</v>
      </c>
      <c r="D10" s="76"/>
      <c r="G10" s="50">
        <v>46068.0</v>
      </c>
      <c r="J10" s="51">
        <v>28000.0</v>
      </c>
      <c r="N10" s="69"/>
      <c r="R10" s="70">
        <f t="shared" ref="R10:R12" si="2">J10</f>
        <v>28000</v>
      </c>
    </row>
    <row r="11">
      <c r="A11" s="75" t="s">
        <v>131</v>
      </c>
      <c r="D11" s="76"/>
      <c r="G11" s="50">
        <v>46068.0</v>
      </c>
      <c r="J11" s="51">
        <v>28000.0</v>
      </c>
      <c r="N11" s="69"/>
      <c r="R11" s="70">
        <f t="shared" si="2"/>
        <v>28000</v>
      </c>
    </row>
    <row r="12">
      <c r="A12" s="77" t="s">
        <v>132</v>
      </c>
      <c r="D12" s="78"/>
      <c r="G12" s="79">
        <v>46068.0</v>
      </c>
      <c r="J12" s="80">
        <v>28000.0</v>
      </c>
      <c r="L12" s="81"/>
      <c r="N12" s="82"/>
      <c r="P12" s="81"/>
      <c r="R12" s="83">
        <f t="shared" si="2"/>
        <v>28000</v>
      </c>
    </row>
    <row r="13">
      <c r="A13" s="84" t="s">
        <v>133</v>
      </c>
      <c r="D13" s="85"/>
      <c r="G13" s="86">
        <v>46068.0</v>
      </c>
      <c r="J13" s="87">
        <v>15000.0</v>
      </c>
      <c r="L13" s="86">
        <v>46082.0</v>
      </c>
      <c r="N13" s="87">
        <v>13000.0</v>
      </c>
      <c r="P13" s="88"/>
      <c r="R13" s="89">
        <f t="shared" ref="R13:R14" si="3">SUM(J13+N13)</f>
        <v>28000</v>
      </c>
    </row>
    <row r="14">
      <c r="A14" s="75" t="s">
        <v>134</v>
      </c>
      <c r="D14" s="76"/>
      <c r="G14" s="50">
        <v>46068.0</v>
      </c>
      <c r="J14" s="51">
        <v>4000.0</v>
      </c>
      <c r="L14" s="54">
        <v>46110.0</v>
      </c>
      <c r="N14" s="51">
        <v>5000.0</v>
      </c>
      <c r="R14" s="70">
        <f t="shared" si="3"/>
        <v>9000</v>
      </c>
    </row>
    <row r="15">
      <c r="D15" s="76"/>
      <c r="G15" s="50"/>
      <c r="J15" s="69"/>
      <c r="N15" s="69"/>
    </row>
    <row r="16">
      <c r="A16" s="84" t="s">
        <v>135</v>
      </c>
      <c r="D16" s="90">
        <v>3.042916111E9</v>
      </c>
      <c r="G16" s="86">
        <v>46082.0</v>
      </c>
      <c r="J16" s="87">
        <v>28000.0</v>
      </c>
      <c r="N16" s="69"/>
      <c r="R16" s="70">
        <f t="shared" ref="R16:R24" si="4">J16</f>
        <v>28000</v>
      </c>
    </row>
    <row r="17">
      <c r="A17" s="84" t="s">
        <v>136</v>
      </c>
      <c r="D17" s="90">
        <v>3.00517022E9</v>
      </c>
      <c r="G17" s="86">
        <v>46082.0</v>
      </c>
      <c r="J17" s="87">
        <v>28000.0</v>
      </c>
      <c r="N17" s="69"/>
      <c r="R17" s="70">
        <f t="shared" si="4"/>
        <v>28000</v>
      </c>
    </row>
    <row r="18">
      <c r="A18" s="84" t="s">
        <v>137</v>
      </c>
      <c r="D18" s="90">
        <v>3.145823676E9</v>
      </c>
      <c r="G18" s="86">
        <v>46082.0</v>
      </c>
      <c r="J18" s="87">
        <v>28000.0</v>
      </c>
      <c r="N18" s="69"/>
      <c r="R18" s="70">
        <f t="shared" si="4"/>
        <v>28000</v>
      </c>
    </row>
    <row r="19">
      <c r="A19" s="84" t="s">
        <v>138</v>
      </c>
      <c r="D19" s="90">
        <v>3.215880065E9</v>
      </c>
      <c r="G19" s="86">
        <v>46082.0</v>
      </c>
      <c r="J19" s="87">
        <v>28000.0</v>
      </c>
      <c r="N19" s="69"/>
      <c r="R19" s="70">
        <f t="shared" si="4"/>
        <v>28000</v>
      </c>
    </row>
    <row r="20">
      <c r="A20" s="84" t="s">
        <v>139</v>
      </c>
      <c r="D20" s="90">
        <v>3.126777308E9</v>
      </c>
      <c r="G20" s="86">
        <v>46082.0</v>
      </c>
      <c r="J20" s="87">
        <v>28000.0</v>
      </c>
      <c r="N20" s="69"/>
      <c r="R20" s="70">
        <f t="shared" si="4"/>
        <v>28000</v>
      </c>
    </row>
    <row r="21" ht="15.75" customHeight="1">
      <c r="A21" s="84" t="s">
        <v>140</v>
      </c>
      <c r="D21" s="90">
        <v>3.229164375E9</v>
      </c>
      <c r="G21" s="86">
        <v>46082.0</v>
      </c>
      <c r="J21" s="87">
        <v>28000.0</v>
      </c>
      <c r="N21" s="69"/>
      <c r="R21" s="70">
        <f t="shared" si="4"/>
        <v>28000</v>
      </c>
    </row>
    <row r="22" ht="15.75" customHeight="1">
      <c r="A22" s="84" t="s">
        <v>141</v>
      </c>
      <c r="D22" s="90">
        <v>3.182872544E9</v>
      </c>
      <c r="G22" s="86">
        <v>46082.0</v>
      </c>
      <c r="J22" s="87">
        <v>28000.0</v>
      </c>
      <c r="N22" s="69"/>
      <c r="R22" s="70">
        <f t="shared" si="4"/>
        <v>28000</v>
      </c>
    </row>
    <row r="23" ht="15.75" customHeight="1">
      <c r="A23" s="84" t="s">
        <v>142</v>
      </c>
      <c r="D23" s="90">
        <v>3.023048765E9</v>
      </c>
      <c r="G23" s="86">
        <v>46082.0</v>
      </c>
      <c r="J23" s="87">
        <v>28000.0</v>
      </c>
      <c r="N23" s="69"/>
      <c r="R23" s="70">
        <f t="shared" si="4"/>
        <v>28000</v>
      </c>
    </row>
    <row r="24" ht="15.75" customHeight="1">
      <c r="A24" s="84" t="s">
        <v>143</v>
      </c>
      <c r="D24" s="90">
        <v>3.245653175E9</v>
      </c>
      <c r="G24" s="86">
        <v>46082.0</v>
      </c>
      <c r="J24" s="87">
        <v>28000.0</v>
      </c>
      <c r="N24" s="69"/>
      <c r="R24" s="70">
        <f t="shared" si="4"/>
        <v>28000</v>
      </c>
    </row>
    <row r="25">
      <c r="A25" s="75" t="s">
        <v>144</v>
      </c>
      <c r="D25" s="68">
        <v>3.22498723E9</v>
      </c>
      <c r="G25" s="50">
        <v>46082.0</v>
      </c>
      <c r="J25" s="51">
        <v>3000.0</v>
      </c>
      <c r="L25" s="54">
        <v>46103.0</v>
      </c>
      <c r="N25" s="51">
        <v>5000.0</v>
      </c>
      <c r="R25" s="70">
        <f t="shared" ref="R25:R26" si="5">J25+N25</f>
        <v>8000</v>
      </c>
    </row>
    <row r="26" ht="15.75" customHeight="1">
      <c r="A26" s="77" t="s">
        <v>145</v>
      </c>
      <c r="D26" s="91">
        <v>3.136061067E9</v>
      </c>
      <c r="G26" s="79">
        <v>46082.0</v>
      </c>
      <c r="J26" s="80">
        <v>20000.0</v>
      </c>
      <c r="L26" s="92">
        <v>46103.0</v>
      </c>
      <c r="N26" s="80">
        <v>8000.0</v>
      </c>
      <c r="P26" s="81"/>
      <c r="R26" s="83">
        <f t="shared" si="5"/>
        <v>28000</v>
      </c>
    </row>
    <row r="27" ht="15.75" customHeight="1">
      <c r="A27" s="77" t="s">
        <v>146</v>
      </c>
      <c r="D27" s="91">
        <v>3.023166995E9</v>
      </c>
      <c r="G27" s="79">
        <v>46096.0</v>
      </c>
      <c r="J27" s="80">
        <v>28000.0</v>
      </c>
      <c r="N27" s="69"/>
      <c r="R27" s="93">
        <v>28000.0</v>
      </c>
    </row>
    <row r="28" ht="15.75" customHeight="1">
      <c r="A28" s="75" t="s">
        <v>147</v>
      </c>
      <c r="D28" s="76"/>
      <c r="G28" s="50">
        <v>46096.0</v>
      </c>
      <c r="J28" s="51">
        <v>10000.0</v>
      </c>
      <c r="N28" s="69"/>
      <c r="R28" s="70">
        <f t="shared" ref="R28:R32" si="6">SUM(J28:Q28)</f>
        <v>10000</v>
      </c>
    </row>
    <row r="29" ht="15.75" customHeight="1">
      <c r="A29" s="77" t="s">
        <v>148</v>
      </c>
      <c r="D29" s="78"/>
      <c r="G29" s="79">
        <v>46096.0</v>
      </c>
      <c r="J29" s="80">
        <v>28000.0</v>
      </c>
      <c r="N29" s="69"/>
      <c r="R29" s="70">
        <f t="shared" si="6"/>
        <v>28000</v>
      </c>
    </row>
    <row r="30" ht="15.75" customHeight="1">
      <c r="A30" s="75" t="s">
        <v>149</v>
      </c>
      <c r="D30" s="76"/>
      <c r="G30" s="50">
        <v>46096.0</v>
      </c>
      <c r="J30" s="51">
        <v>5000.0</v>
      </c>
      <c r="N30" s="69"/>
      <c r="R30" s="70">
        <f t="shared" si="6"/>
        <v>5000</v>
      </c>
    </row>
    <row r="31" ht="15.75" customHeight="1">
      <c r="A31" s="77" t="s">
        <v>150</v>
      </c>
      <c r="D31" s="78"/>
      <c r="G31" s="79">
        <v>46096.0</v>
      </c>
      <c r="J31" s="80">
        <v>28000.0</v>
      </c>
      <c r="N31" s="69"/>
      <c r="R31" s="70">
        <f t="shared" si="6"/>
        <v>28000</v>
      </c>
    </row>
    <row r="32" ht="15.75" customHeight="1">
      <c r="A32" s="77" t="s">
        <v>151</v>
      </c>
      <c r="D32" s="78"/>
      <c r="G32" s="79">
        <v>46096.0</v>
      </c>
      <c r="J32" s="80">
        <v>28000.0</v>
      </c>
      <c r="N32" s="69"/>
      <c r="R32" s="70">
        <f t="shared" si="6"/>
        <v>28000</v>
      </c>
    </row>
    <row r="33" ht="15.75" customHeight="1">
      <c r="A33" s="77" t="s">
        <v>152</v>
      </c>
      <c r="D33" s="78"/>
      <c r="G33" s="79">
        <v>46096.0</v>
      </c>
      <c r="J33" s="80">
        <v>20000.0</v>
      </c>
      <c r="L33" s="92">
        <v>46110.0</v>
      </c>
      <c r="N33" s="80">
        <v>8000.0</v>
      </c>
      <c r="P33" s="81"/>
      <c r="R33" s="83">
        <f>SUM(J33+N33)</f>
        <v>28000</v>
      </c>
    </row>
    <row r="34" ht="15.75" customHeight="1">
      <c r="A34" s="75" t="s">
        <v>153</v>
      </c>
      <c r="D34" s="76"/>
      <c r="G34" s="50">
        <v>46103.0</v>
      </c>
      <c r="J34" s="51">
        <v>10000.0</v>
      </c>
      <c r="N34" s="69"/>
      <c r="R34" s="70">
        <f t="shared" ref="R34:R38" si="7">SUM(J34:Q34)</f>
        <v>10000</v>
      </c>
    </row>
    <row r="35" ht="15.75" customHeight="1">
      <c r="A35" s="75" t="s">
        <v>154</v>
      </c>
      <c r="D35" s="76"/>
      <c r="G35" s="50">
        <v>46103.0</v>
      </c>
      <c r="J35" s="51">
        <v>5000.0</v>
      </c>
      <c r="N35" s="69"/>
      <c r="R35" s="70">
        <f t="shared" si="7"/>
        <v>5000</v>
      </c>
    </row>
    <row r="36" ht="15.75" customHeight="1">
      <c r="A36" s="75" t="s">
        <v>155</v>
      </c>
      <c r="D36" s="76"/>
      <c r="G36" s="50">
        <v>46103.0</v>
      </c>
      <c r="J36" s="51">
        <v>10000.0</v>
      </c>
      <c r="N36" s="69"/>
      <c r="R36" s="70">
        <f t="shared" si="7"/>
        <v>10000</v>
      </c>
    </row>
    <row r="37" ht="15.75" customHeight="1">
      <c r="A37" s="75" t="s">
        <v>156</v>
      </c>
      <c r="D37" s="76"/>
      <c r="G37" s="50">
        <v>46110.0</v>
      </c>
      <c r="J37" s="51">
        <v>5000.0</v>
      </c>
      <c r="N37" s="69"/>
      <c r="R37" s="70">
        <f t="shared" si="7"/>
        <v>5000</v>
      </c>
    </row>
    <row r="38" ht="15.75" customHeight="1">
      <c r="A38" s="75" t="s">
        <v>157</v>
      </c>
      <c r="D38" s="76"/>
      <c r="G38" s="50">
        <v>46110.0</v>
      </c>
      <c r="J38" s="51">
        <v>10000.0</v>
      </c>
      <c r="N38" s="69"/>
      <c r="R38" s="70">
        <f t="shared" si="7"/>
        <v>10000</v>
      </c>
    </row>
    <row r="39" ht="15.75" customHeight="1">
      <c r="D39" s="76"/>
      <c r="J39" s="69"/>
      <c r="N39" s="69"/>
      <c r="R39" s="70"/>
    </row>
    <row r="40" ht="15.75" customHeight="1">
      <c r="D40" s="76"/>
      <c r="J40" s="69"/>
      <c r="N40" s="69"/>
      <c r="R40" s="70"/>
    </row>
    <row r="41" ht="15.75" customHeight="1">
      <c r="D41" s="76"/>
      <c r="J41" s="69"/>
      <c r="N41" s="69"/>
      <c r="R41" s="70"/>
    </row>
    <row r="42" ht="15.75" customHeight="1">
      <c r="A42" s="94" t="s">
        <v>158</v>
      </c>
      <c r="D42" s="95"/>
      <c r="E42" s="95"/>
      <c r="F42" s="95"/>
      <c r="G42" s="95"/>
      <c r="H42" s="95"/>
      <c r="I42" s="95"/>
      <c r="J42" s="96"/>
      <c r="L42" s="97"/>
      <c r="N42" s="98"/>
      <c r="P42" s="97"/>
      <c r="R42" s="98">
        <f>SUM(R3:S41)</f>
        <v>675000</v>
      </c>
      <c r="T42" s="99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7">
    <mergeCell ref="D5:F5"/>
    <mergeCell ref="G5:I5"/>
    <mergeCell ref="J5:K5"/>
    <mergeCell ref="L5:M5"/>
    <mergeCell ref="N5:O5"/>
    <mergeCell ref="P5:Q5"/>
    <mergeCell ref="R5:S5"/>
    <mergeCell ref="A5:C5"/>
    <mergeCell ref="A6:C6"/>
    <mergeCell ref="D6:F6"/>
    <mergeCell ref="G6:I6"/>
    <mergeCell ref="J6:K6"/>
    <mergeCell ref="L6:M6"/>
    <mergeCell ref="N6:O6"/>
    <mergeCell ref="D7:F7"/>
    <mergeCell ref="G7:I7"/>
    <mergeCell ref="J7:K7"/>
    <mergeCell ref="L7:M7"/>
    <mergeCell ref="N7:O7"/>
    <mergeCell ref="P7:Q7"/>
    <mergeCell ref="R7:S7"/>
    <mergeCell ref="A7:C7"/>
    <mergeCell ref="A8:C8"/>
    <mergeCell ref="D8:F8"/>
    <mergeCell ref="G8:I8"/>
    <mergeCell ref="J8:K8"/>
    <mergeCell ref="L8:M8"/>
    <mergeCell ref="N8:O8"/>
    <mergeCell ref="N9:O9"/>
    <mergeCell ref="P9:Q9"/>
    <mergeCell ref="P8:Q8"/>
    <mergeCell ref="R8:S8"/>
    <mergeCell ref="D9:F9"/>
    <mergeCell ref="G9:I9"/>
    <mergeCell ref="J9:K9"/>
    <mergeCell ref="L9:M9"/>
    <mergeCell ref="R9:S9"/>
    <mergeCell ref="P10:Q10"/>
    <mergeCell ref="R10:S10"/>
    <mergeCell ref="A9:C9"/>
    <mergeCell ref="A10:C10"/>
    <mergeCell ref="D10:F10"/>
    <mergeCell ref="G10:I10"/>
    <mergeCell ref="J10:K10"/>
    <mergeCell ref="L10:M10"/>
    <mergeCell ref="N10:O10"/>
    <mergeCell ref="D11:F11"/>
    <mergeCell ref="G11:I11"/>
    <mergeCell ref="J11:K11"/>
    <mergeCell ref="L11:M11"/>
    <mergeCell ref="N11:O11"/>
    <mergeCell ref="P11:Q11"/>
    <mergeCell ref="R11:S11"/>
    <mergeCell ref="A11:C11"/>
    <mergeCell ref="A12:C12"/>
    <mergeCell ref="D12:F12"/>
    <mergeCell ref="G12:I12"/>
    <mergeCell ref="J12:K12"/>
    <mergeCell ref="L12:M12"/>
    <mergeCell ref="N12:O12"/>
    <mergeCell ref="N13:O13"/>
    <mergeCell ref="P13:Q13"/>
    <mergeCell ref="P12:Q12"/>
    <mergeCell ref="R12:S12"/>
    <mergeCell ref="D13:F13"/>
    <mergeCell ref="G13:I13"/>
    <mergeCell ref="J13:K13"/>
    <mergeCell ref="L13:M13"/>
    <mergeCell ref="R13:S13"/>
    <mergeCell ref="P14:Q14"/>
    <mergeCell ref="R14:S14"/>
    <mergeCell ref="A13:C13"/>
    <mergeCell ref="A14:C14"/>
    <mergeCell ref="D14:F14"/>
    <mergeCell ref="G14:I14"/>
    <mergeCell ref="J14:K14"/>
    <mergeCell ref="L14:M14"/>
    <mergeCell ref="N14:O14"/>
    <mergeCell ref="D15:F15"/>
    <mergeCell ref="G15:I15"/>
    <mergeCell ref="J15:K15"/>
    <mergeCell ref="L15:M15"/>
    <mergeCell ref="N15:O15"/>
    <mergeCell ref="P15:Q15"/>
    <mergeCell ref="R15:S15"/>
    <mergeCell ref="A15:C15"/>
    <mergeCell ref="A16:C16"/>
    <mergeCell ref="D16:F16"/>
    <mergeCell ref="G16:I16"/>
    <mergeCell ref="J16:K16"/>
    <mergeCell ref="L16:M16"/>
    <mergeCell ref="N16:O16"/>
    <mergeCell ref="N17:O17"/>
    <mergeCell ref="P17:Q17"/>
    <mergeCell ref="P16:Q16"/>
    <mergeCell ref="R16:S16"/>
    <mergeCell ref="D17:F17"/>
    <mergeCell ref="G17:I17"/>
    <mergeCell ref="J17:K17"/>
    <mergeCell ref="L17:M17"/>
    <mergeCell ref="R17:S17"/>
    <mergeCell ref="P18:Q18"/>
    <mergeCell ref="R18:S18"/>
    <mergeCell ref="A17:C17"/>
    <mergeCell ref="A18:C18"/>
    <mergeCell ref="D18:F18"/>
    <mergeCell ref="G18:I18"/>
    <mergeCell ref="J18:K18"/>
    <mergeCell ref="L18:M18"/>
    <mergeCell ref="N18:O18"/>
    <mergeCell ref="D19:F19"/>
    <mergeCell ref="G19:I19"/>
    <mergeCell ref="J19:K19"/>
    <mergeCell ref="L19:M19"/>
    <mergeCell ref="N19:O19"/>
    <mergeCell ref="P19:Q19"/>
    <mergeCell ref="R19:S19"/>
    <mergeCell ref="A19:C19"/>
    <mergeCell ref="A20:C20"/>
    <mergeCell ref="D20:F20"/>
    <mergeCell ref="G20:I20"/>
    <mergeCell ref="J20:K20"/>
    <mergeCell ref="L20:M20"/>
    <mergeCell ref="N20:O20"/>
    <mergeCell ref="N21:O21"/>
    <mergeCell ref="P21:Q21"/>
    <mergeCell ref="P20:Q20"/>
    <mergeCell ref="R20:S20"/>
    <mergeCell ref="D21:F21"/>
    <mergeCell ref="G21:I21"/>
    <mergeCell ref="J21:K21"/>
    <mergeCell ref="L21:M21"/>
    <mergeCell ref="R21:S21"/>
    <mergeCell ref="P22:Q22"/>
    <mergeCell ref="R22:S22"/>
    <mergeCell ref="A21:C21"/>
    <mergeCell ref="A22:C22"/>
    <mergeCell ref="D22:F22"/>
    <mergeCell ref="G22:I22"/>
    <mergeCell ref="J22:K22"/>
    <mergeCell ref="L22:M22"/>
    <mergeCell ref="N22:O22"/>
    <mergeCell ref="N25:O25"/>
    <mergeCell ref="P25:Q25"/>
    <mergeCell ref="P24:Q24"/>
    <mergeCell ref="R24:S24"/>
    <mergeCell ref="D25:F25"/>
    <mergeCell ref="G25:I25"/>
    <mergeCell ref="J25:K25"/>
    <mergeCell ref="L25:M25"/>
    <mergeCell ref="R25:S25"/>
    <mergeCell ref="P34:Q34"/>
    <mergeCell ref="R34:S34"/>
    <mergeCell ref="A33:C33"/>
    <mergeCell ref="A34:C34"/>
    <mergeCell ref="D34:F34"/>
    <mergeCell ref="G34:I34"/>
    <mergeCell ref="J34:K34"/>
    <mergeCell ref="L34:M34"/>
    <mergeCell ref="N34:O34"/>
    <mergeCell ref="D35:F35"/>
    <mergeCell ref="G35:I35"/>
    <mergeCell ref="J35:K35"/>
    <mergeCell ref="L35:M35"/>
    <mergeCell ref="N35:O35"/>
    <mergeCell ref="P35:Q35"/>
    <mergeCell ref="R35:S35"/>
    <mergeCell ref="A35:C35"/>
    <mergeCell ref="A36:C36"/>
    <mergeCell ref="D36:F36"/>
    <mergeCell ref="G36:I36"/>
    <mergeCell ref="J36:K36"/>
    <mergeCell ref="L36:M36"/>
    <mergeCell ref="N36:O36"/>
    <mergeCell ref="N37:O37"/>
    <mergeCell ref="P37:Q37"/>
    <mergeCell ref="P36:Q36"/>
    <mergeCell ref="R36:S36"/>
    <mergeCell ref="D37:F37"/>
    <mergeCell ref="G37:I37"/>
    <mergeCell ref="J37:K37"/>
    <mergeCell ref="L37:M37"/>
    <mergeCell ref="R37:S37"/>
    <mergeCell ref="P38:Q38"/>
    <mergeCell ref="R38:S38"/>
    <mergeCell ref="A37:C37"/>
    <mergeCell ref="A38:C38"/>
    <mergeCell ref="D38:F38"/>
    <mergeCell ref="G38:I38"/>
    <mergeCell ref="J38:K38"/>
    <mergeCell ref="L38:M38"/>
    <mergeCell ref="N38:O38"/>
    <mergeCell ref="D39:F39"/>
    <mergeCell ref="G39:I39"/>
    <mergeCell ref="J39:K39"/>
    <mergeCell ref="L39:M39"/>
    <mergeCell ref="N39:O39"/>
    <mergeCell ref="P39:Q39"/>
    <mergeCell ref="R39:S39"/>
    <mergeCell ref="A39:C39"/>
    <mergeCell ref="A40:C40"/>
    <mergeCell ref="D40:F40"/>
    <mergeCell ref="G40:I40"/>
    <mergeCell ref="J40:K40"/>
    <mergeCell ref="L40:M40"/>
    <mergeCell ref="N40:O40"/>
    <mergeCell ref="N41:O41"/>
    <mergeCell ref="P41:Q41"/>
    <mergeCell ref="P40:Q40"/>
    <mergeCell ref="R40:S40"/>
    <mergeCell ref="D41:F41"/>
    <mergeCell ref="G41:I41"/>
    <mergeCell ref="J41:K41"/>
    <mergeCell ref="L41:M41"/>
    <mergeCell ref="R41:S41"/>
    <mergeCell ref="P2:Q2"/>
    <mergeCell ref="R2:S2"/>
    <mergeCell ref="A1:Q1"/>
    <mergeCell ref="A2:C2"/>
    <mergeCell ref="D2:F2"/>
    <mergeCell ref="G2:I2"/>
    <mergeCell ref="J2:K2"/>
    <mergeCell ref="L2:M2"/>
    <mergeCell ref="N2:O2"/>
    <mergeCell ref="D3:F3"/>
    <mergeCell ref="G3:I3"/>
    <mergeCell ref="J3:K3"/>
    <mergeCell ref="L3:M3"/>
    <mergeCell ref="N3:O3"/>
    <mergeCell ref="P3:Q3"/>
    <mergeCell ref="R3:S3"/>
    <mergeCell ref="P4:Q4"/>
    <mergeCell ref="R4:S4"/>
    <mergeCell ref="A3:C3"/>
    <mergeCell ref="A4:C4"/>
    <mergeCell ref="D4:F4"/>
    <mergeCell ref="G4:I4"/>
    <mergeCell ref="J4:K4"/>
    <mergeCell ref="L4:M4"/>
    <mergeCell ref="N4:O4"/>
    <mergeCell ref="P6:Q6"/>
    <mergeCell ref="R6:S6"/>
    <mergeCell ref="A41:C41"/>
    <mergeCell ref="A42:C42"/>
    <mergeCell ref="J42:K42"/>
    <mergeCell ref="L42:M42"/>
    <mergeCell ref="N42:O42"/>
    <mergeCell ref="P42:Q42"/>
    <mergeCell ref="R42:S42"/>
    <mergeCell ref="D23:F23"/>
    <mergeCell ref="G23:I23"/>
    <mergeCell ref="J23:K23"/>
    <mergeCell ref="L23:M23"/>
    <mergeCell ref="N23:O23"/>
    <mergeCell ref="P23:Q23"/>
    <mergeCell ref="R23:S23"/>
    <mergeCell ref="A23:C23"/>
    <mergeCell ref="A24:C24"/>
    <mergeCell ref="D24:F24"/>
    <mergeCell ref="G24:I24"/>
    <mergeCell ref="J24:K24"/>
    <mergeCell ref="L24:M24"/>
    <mergeCell ref="N24:O24"/>
    <mergeCell ref="P26:Q26"/>
    <mergeCell ref="R26:S26"/>
    <mergeCell ref="A25:C25"/>
    <mergeCell ref="A26:C26"/>
    <mergeCell ref="D26:F26"/>
    <mergeCell ref="G26:I26"/>
    <mergeCell ref="J26:K26"/>
    <mergeCell ref="L26:M26"/>
    <mergeCell ref="N26:O26"/>
    <mergeCell ref="D27:F27"/>
    <mergeCell ref="G27:I27"/>
    <mergeCell ref="J27:K27"/>
    <mergeCell ref="L27:M27"/>
    <mergeCell ref="N27:O27"/>
    <mergeCell ref="P27:Q27"/>
    <mergeCell ref="R27:S27"/>
    <mergeCell ref="A27:C27"/>
    <mergeCell ref="A28:C28"/>
    <mergeCell ref="D28:F28"/>
    <mergeCell ref="G28:I28"/>
    <mergeCell ref="J28:K28"/>
    <mergeCell ref="L28:M28"/>
    <mergeCell ref="N28:O28"/>
    <mergeCell ref="N29:O29"/>
    <mergeCell ref="P29:Q29"/>
    <mergeCell ref="P28:Q28"/>
    <mergeCell ref="R28:S28"/>
    <mergeCell ref="D29:F29"/>
    <mergeCell ref="G29:I29"/>
    <mergeCell ref="J29:K29"/>
    <mergeCell ref="L29:M29"/>
    <mergeCell ref="R29:S29"/>
    <mergeCell ref="P30:Q30"/>
    <mergeCell ref="R30:S30"/>
    <mergeCell ref="A29:C29"/>
    <mergeCell ref="A30:C30"/>
    <mergeCell ref="D30:F30"/>
    <mergeCell ref="G30:I30"/>
    <mergeCell ref="J30:K30"/>
    <mergeCell ref="L30:M30"/>
    <mergeCell ref="N30:O30"/>
    <mergeCell ref="D31:F31"/>
    <mergeCell ref="G31:I31"/>
    <mergeCell ref="J31:K31"/>
    <mergeCell ref="L31:M31"/>
    <mergeCell ref="N31:O31"/>
    <mergeCell ref="P31:Q31"/>
    <mergeCell ref="R31:S31"/>
    <mergeCell ref="A31:C31"/>
    <mergeCell ref="A32:C32"/>
    <mergeCell ref="D32:F32"/>
    <mergeCell ref="G32:I32"/>
    <mergeCell ref="J32:K32"/>
    <mergeCell ref="L32:M32"/>
    <mergeCell ref="N32:O32"/>
    <mergeCell ref="N33:O33"/>
    <mergeCell ref="P33:Q33"/>
    <mergeCell ref="P32:Q32"/>
    <mergeCell ref="R32:S32"/>
    <mergeCell ref="D33:F33"/>
    <mergeCell ref="G33:I33"/>
    <mergeCell ref="J33:K33"/>
    <mergeCell ref="L33:M33"/>
    <mergeCell ref="R33:S3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29"/>
    <col customWidth="1" min="3" max="3" width="17.43"/>
    <col customWidth="1" min="4" max="4" width="16.86"/>
    <col customWidth="1" min="5" max="5" width="17.29"/>
    <col customWidth="1" min="6" max="6" width="16.71"/>
    <col customWidth="1" min="7" max="7" width="16.86"/>
    <col customWidth="1" min="8" max="8" width="17.0"/>
    <col customWidth="1" min="9" max="9" width="17.57"/>
    <col customWidth="1" min="10" max="10" width="21.43"/>
    <col customWidth="1" min="11" max="11" width="17.29"/>
  </cols>
  <sheetData>
    <row r="1">
      <c r="A1" s="100" t="s">
        <v>159</v>
      </c>
      <c r="M1" s="101" t="s">
        <v>160</v>
      </c>
      <c r="N1" s="17"/>
      <c r="O1" s="17"/>
      <c r="P1" s="17"/>
      <c r="Q1" s="18"/>
    </row>
    <row r="2">
      <c r="A2" s="102" t="s">
        <v>120</v>
      </c>
      <c r="C2" s="103" t="s">
        <v>124</v>
      </c>
      <c r="D2" s="103" t="s">
        <v>123</v>
      </c>
      <c r="E2" s="103" t="s">
        <v>124</v>
      </c>
      <c r="F2" s="103" t="s">
        <v>123</v>
      </c>
      <c r="G2" s="103" t="s">
        <v>124</v>
      </c>
      <c r="H2" s="103" t="s">
        <v>123</v>
      </c>
      <c r="I2" s="103" t="s">
        <v>124</v>
      </c>
      <c r="J2" s="103" t="s">
        <v>123</v>
      </c>
      <c r="K2" s="104" t="s">
        <v>161</v>
      </c>
      <c r="M2" s="105" t="s">
        <v>105</v>
      </c>
      <c r="N2" s="106"/>
      <c r="O2" s="106" t="s">
        <v>162</v>
      </c>
      <c r="P2" s="106"/>
      <c r="Q2" s="107" t="s">
        <v>163</v>
      </c>
    </row>
    <row r="3">
      <c r="A3" s="71" t="s">
        <v>164</v>
      </c>
      <c r="C3" s="108">
        <v>46015.0</v>
      </c>
      <c r="D3" s="109">
        <v>40000.0</v>
      </c>
      <c r="E3" s="44" t="s">
        <v>165</v>
      </c>
      <c r="K3" s="110">
        <f>SUM(D3)</f>
        <v>40000</v>
      </c>
      <c r="M3" s="22">
        <v>45985.0</v>
      </c>
      <c r="O3" s="13" t="s">
        <v>166</v>
      </c>
      <c r="Q3" s="23">
        <v>180000.0</v>
      </c>
    </row>
    <row r="4">
      <c r="A4" s="71" t="s">
        <v>167</v>
      </c>
      <c r="C4" s="111">
        <v>46052.0</v>
      </c>
      <c r="D4" s="112"/>
      <c r="E4" s="44" t="s">
        <v>168</v>
      </c>
      <c r="K4" s="113"/>
      <c r="M4" s="22">
        <v>46052.0</v>
      </c>
      <c r="O4" s="13" t="s">
        <v>166</v>
      </c>
      <c r="Q4" s="24">
        <v>110000.0</v>
      </c>
    </row>
    <row r="5">
      <c r="A5" s="75" t="s">
        <v>169</v>
      </c>
      <c r="C5" s="54">
        <v>46053.0</v>
      </c>
      <c r="D5" s="93">
        <v>140000.0</v>
      </c>
      <c r="E5" s="54">
        <v>46097.0</v>
      </c>
      <c r="F5" s="93">
        <v>50000.0</v>
      </c>
      <c r="K5" s="110">
        <f t="shared" ref="K5:K6" si="1">SUM(D5,F5,H5,J5)</f>
        <v>190000</v>
      </c>
      <c r="M5" s="25"/>
      <c r="Q5" s="26"/>
    </row>
    <row r="6">
      <c r="A6" s="75" t="s">
        <v>170</v>
      </c>
      <c r="C6" s="54">
        <v>46077.0</v>
      </c>
      <c r="D6" s="93">
        <v>15000.0</v>
      </c>
      <c r="E6" s="54">
        <v>46110.0</v>
      </c>
      <c r="F6" s="93">
        <v>14000.0</v>
      </c>
      <c r="K6" s="110">
        <f t="shared" si="1"/>
        <v>29000</v>
      </c>
      <c r="M6" s="25"/>
      <c r="Q6" s="26"/>
    </row>
    <row r="7">
      <c r="D7" s="70"/>
      <c r="F7" s="70"/>
      <c r="K7" s="113"/>
      <c r="M7" s="25"/>
      <c r="Q7" s="26"/>
    </row>
    <row r="8">
      <c r="D8" s="70"/>
      <c r="F8" s="70"/>
      <c r="K8" s="113"/>
      <c r="M8" s="25"/>
      <c r="Q8" s="26"/>
    </row>
    <row r="9">
      <c r="D9" s="70"/>
      <c r="F9" s="70"/>
      <c r="K9" s="113"/>
      <c r="M9" s="25"/>
      <c r="Q9" s="26"/>
    </row>
    <row r="10">
      <c r="D10" s="70"/>
      <c r="F10" s="70"/>
      <c r="K10" s="113"/>
      <c r="M10" s="25"/>
      <c r="Q10" s="26"/>
    </row>
    <row r="11">
      <c r="D11" s="70"/>
      <c r="F11" s="70"/>
      <c r="K11" s="113"/>
      <c r="M11" s="25"/>
      <c r="Q11" s="26"/>
    </row>
    <row r="12">
      <c r="D12" s="70"/>
      <c r="F12" s="70"/>
      <c r="K12" s="113"/>
      <c r="M12" s="114" t="s">
        <v>171</v>
      </c>
      <c r="N12" s="115"/>
      <c r="O12" s="115"/>
      <c r="P12" s="115"/>
      <c r="Q12" s="116">
        <f>SUM(Q3:Q11)</f>
        <v>290000</v>
      </c>
    </row>
    <row r="13">
      <c r="D13" s="70"/>
      <c r="F13" s="70"/>
      <c r="K13" s="113"/>
    </row>
    <row r="14">
      <c r="D14" s="70"/>
      <c r="F14" s="70"/>
      <c r="K14" s="113"/>
    </row>
    <row r="15">
      <c r="D15" s="70"/>
      <c r="F15" s="70"/>
      <c r="K15" s="113"/>
    </row>
    <row r="16">
      <c r="D16" s="70"/>
      <c r="F16" s="70"/>
      <c r="K16" s="113"/>
    </row>
    <row r="17">
      <c r="D17" s="70"/>
      <c r="F17" s="70"/>
      <c r="K17" s="113"/>
    </row>
    <row r="18">
      <c r="D18" s="70"/>
      <c r="F18" s="70"/>
      <c r="K18" s="113"/>
    </row>
    <row r="19">
      <c r="D19" s="70"/>
      <c r="F19" s="70"/>
      <c r="K19" s="113"/>
    </row>
    <row r="20">
      <c r="D20" s="70"/>
      <c r="F20" s="70"/>
      <c r="K20" s="113"/>
    </row>
    <row r="21">
      <c r="D21" s="70"/>
      <c r="F21" s="70"/>
      <c r="K21" s="113"/>
    </row>
    <row r="22">
      <c r="D22" s="70"/>
      <c r="F22" s="70"/>
      <c r="K22" s="113"/>
    </row>
    <row r="23">
      <c r="D23" s="70"/>
      <c r="F23" s="70"/>
      <c r="K23" s="113"/>
    </row>
    <row r="24">
      <c r="D24" s="70"/>
      <c r="F24" s="70"/>
      <c r="K24" s="113"/>
    </row>
    <row r="25">
      <c r="D25" s="70"/>
      <c r="F25" s="70"/>
      <c r="K25" s="113"/>
    </row>
    <row r="26">
      <c r="D26" s="70"/>
      <c r="F26" s="70"/>
      <c r="K26" s="113"/>
    </row>
    <row r="27">
      <c r="D27" s="70"/>
      <c r="F27" s="70"/>
      <c r="K27" s="113"/>
    </row>
    <row r="28">
      <c r="D28" s="70"/>
      <c r="F28" s="70"/>
      <c r="K28" s="113"/>
    </row>
    <row r="29">
      <c r="D29" s="70"/>
      <c r="F29" s="70"/>
      <c r="K29" s="113"/>
    </row>
    <row r="30">
      <c r="D30" s="70"/>
      <c r="F30" s="70"/>
      <c r="K30" s="113"/>
    </row>
    <row r="31">
      <c r="D31" s="70"/>
      <c r="F31" s="70"/>
      <c r="K31" s="113"/>
    </row>
    <row r="32">
      <c r="D32" s="70"/>
      <c r="F32" s="70"/>
      <c r="K32" s="113"/>
    </row>
    <row r="33">
      <c r="D33" s="70"/>
      <c r="F33" s="70"/>
      <c r="K33" s="113"/>
    </row>
    <row r="34">
      <c r="A34" s="117" t="s">
        <v>158</v>
      </c>
      <c r="C34" s="118"/>
      <c r="D34" s="119"/>
      <c r="E34" s="118"/>
      <c r="F34" s="118"/>
      <c r="G34" s="118"/>
      <c r="H34" s="118"/>
      <c r="I34" s="118"/>
      <c r="J34" s="118"/>
      <c r="K34" s="120">
        <f>SUM(K3:K33)</f>
        <v>259000</v>
      </c>
    </row>
    <row r="35">
      <c r="D35" s="70"/>
    </row>
  </sheetData>
  <mergeCells count="37">
    <mergeCell ref="A1:J1"/>
    <mergeCell ref="M1:Q1"/>
    <mergeCell ref="A2:B2"/>
    <mergeCell ref="A3:B3"/>
    <mergeCell ref="E3:J3"/>
    <mergeCell ref="A4:B4"/>
    <mergeCell ref="E4:J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3:B33"/>
    <mergeCell ref="A34:B34"/>
    <mergeCell ref="A26:B26"/>
    <mergeCell ref="A27:B27"/>
    <mergeCell ref="A28:B28"/>
    <mergeCell ref="A29:B29"/>
    <mergeCell ref="A30:B30"/>
    <mergeCell ref="A31:B31"/>
    <mergeCell ref="A32:B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29"/>
    <col customWidth="1" min="3" max="3" width="25.86"/>
    <col customWidth="1" min="4" max="4" width="16.86"/>
    <col customWidth="1" min="5" max="5" width="17.29"/>
    <col customWidth="1" min="6" max="6" width="16.71"/>
    <col customWidth="1" min="7" max="7" width="16.86"/>
    <col customWidth="1" min="8" max="8" width="17.0"/>
    <col customWidth="1" min="9" max="9" width="17.57"/>
    <col customWidth="1" min="10" max="10" width="18.43"/>
  </cols>
  <sheetData>
    <row r="1">
      <c r="A1" s="100" t="s">
        <v>159</v>
      </c>
    </row>
    <row r="2">
      <c r="A2" s="102" t="s">
        <v>120</v>
      </c>
      <c r="C2" s="103" t="s">
        <v>121</v>
      </c>
      <c r="D2" s="102" t="s">
        <v>172</v>
      </c>
      <c r="E2" s="102" t="s">
        <v>173</v>
      </c>
      <c r="F2" s="102" t="s">
        <v>174</v>
      </c>
      <c r="G2" s="102" t="s">
        <v>175</v>
      </c>
      <c r="H2" s="103" t="s">
        <v>124</v>
      </c>
      <c r="I2" s="103" t="s">
        <v>123</v>
      </c>
      <c r="J2" s="103" t="s">
        <v>124</v>
      </c>
      <c r="K2" s="103" t="s">
        <v>123</v>
      </c>
      <c r="L2" s="103" t="s">
        <v>124</v>
      </c>
      <c r="M2" s="103" t="s">
        <v>123</v>
      </c>
      <c r="N2" s="103" t="s">
        <v>124</v>
      </c>
      <c r="O2" s="103" t="s">
        <v>123</v>
      </c>
    </row>
    <row r="3">
      <c r="A3" s="75" t="s">
        <v>176</v>
      </c>
      <c r="C3" s="68">
        <v>3.10467744E9</v>
      </c>
      <c r="D3" s="76"/>
      <c r="F3" s="76"/>
      <c r="H3" s="121">
        <v>46068.0</v>
      </c>
      <c r="I3" s="51">
        <v>50000.0</v>
      </c>
      <c r="J3" s="67"/>
      <c r="K3" s="122"/>
      <c r="L3" s="67"/>
      <c r="M3" s="67"/>
      <c r="N3" s="67"/>
      <c r="P3" s="122">
        <f t="shared" ref="P3:P12" si="1">SUM(I3:O3)</f>
        <v>50000</v>
      </c>
    </row>
    <row r="4">
      <c r="A4" s="75" t="s">
        <v>177</v>
      </c>
      <c r="C4" s="68">
        <v>3.023714524E9</v>
      </c>
      <c r="D4" s="76"/>
      <c r="F4" s="76"/>
      <c r="H4" s="121">
        <v>46068.0</v>
      </c>
      <c r="I4" s="123">
        <v>30000.0</v>
      </c>
      <c r="J4" s="67"/>
      <c r="K4" s="122"/>
      <c r="L4" s="67"/>
      <c r="M4" s="67"/>
      <c r="N4" s="67"/>
      <c r="O4" s="67"/>
      <c r="P4" s="124">
        <f t="shared" si="1"/>
        <v>30000</v>
      </c>
    </row>
    <row r="5">
      <c r="A5" s="75" t="s">
        <v>178</v>
      </c>
      <c r="C5" s="76"/>
      <c r="D5" s="76"/>
      <c r="F5" s="76"/>
      <c r="H5" s="121">
        <v>46068.0</v>
      </c>
      <c r="I5" s="51">
        <v>28000.0</v>
      </c>
      <c r="K5" s="70"/>
      <c r="P5" s="122">
        <f t="shared" si="1"/>
        <v>28000</v>
      </c>
    </row>
    <row r="6">
      <c r="A6" s="75" t="s">
        <v>179</v>
      </c>
      <c r="C6" s="76"/>
      <c r="D6" s="76"/>
      <c r="F6" s="76"/>
      <c r="H6" s="121">
        <v>46068.0</v>
      </c>
      <c r="I6" s="51">
        <v>50000.0</v>
      </c>
      <c r="K6" s="70"/>
      <c r="P6" s="122">
        <f t="shared" si="1"/>
        <v>50000</v>
      </c>
    </row>
    <row r="7">
      <c r="A7" s="75" t="s">
        <v>180</v>
      </c>
      <c r="C7" s="68">
        <v>3.106758524E9</v>
      </c>
      <c r="D7" s="68">
        <v>14.0</v>
      </c>
      <c r="E7" s="68" t="s">
        <v>181</v>
      </c>
      <c r="F7" s="68" t="s">
        <v>182</v>
      </c>
      <c r="G7" s="68" t="s">
        <v>183</v>
      </c>
      <c r="H7" s="121">
        <v>46082.0</v>
      </c>
      <c r="I7" s="51">
        <v>50000.0</v>
      </c>
      <c r="K7" s="70"/>
      <c r="P7" s="122">
        <f t="shared" si="1"/>
        <v>50000</v>
      </c>
    </row>
    <row r="8">
      <c r="A8" s="75" t="s">
        <v>184</v>
      </c>
      <c r="C8" s="68">
        <v>3.12420438E9</v>
      </c>
      <c r="D8" s="68">
        <v>13.0</v>
      </c>
      <c r="E8" s="68" t="s">
        <v>181</v>
      </c>
      <c r="F8" s="68" t="s">
        <v>185</v>
      </c>
      <c r="G8" s="68" t="s">
        <v>186</v>
      </c>
      <c r="H8" s="121">
        <v>46082.0</v>
      </c>
      <c r="I8" s="51">
        <v>50000.0</v>
      </c>
      <c r="K8" s="70"/>
      <c r="P8" s="122">
        <f t="shared" si="1"/>
        <v>50000</v>
      </c>
    </row>
    <row r="9">
      <c r="A9" s="75" t="s">
        <v>187</v>
      </c>
      <c r="C9" s="68">
        <v>3.014761447E9</v>
      </c>
      <c r="D9" s="68">
        <v>13.0</v>
      </c>
      <c r="E9" s="68" t="s">
        <v>181</v>
      </c>
      <c r="F9" s="68" t="s">
        <v>182</v>
      </c>
      <c r="G9" s="68" t="s">
        <v>188</v>
      </c>
      <c r="H9" s="121">
        <v>46082.0</v>
      </c>
      <c r="I9" s="51">
        <v>28000.0</v>
      </c>
      <c r="J9" s="125"/>
      <c r="K9" s="70"/>
      <c r="P9" s="122">
        <f t="shared" si="1"/>
        <v>28000</v>
      </c>
    </row>
    <row r="10">
      <c r="A10" s="75" t="s">
        <v>189</v>
      </c>
      <c r="C10" s="68">
        <v>3.023985936E9</v>
      </c>
      <c r="D10" s="68">
        <v>14.0</v>
      </c>
      <c r="E10" s="68" t="s">
        <v>181</v>
      </c>
      <c r="F10" s="68" t="s">
        <v>182</v>
      </c>
      <c r="G10" s="68" t="s">
        <v>183</v>
      </c>
      <c r="H10" s="121">
        <v>46082.0</v>
      </c>
      <c r="I10" s="51">
        <v>30000.0</v>
      </c>
      <c r="J10" s="69"/>
      <c r="K10" s="70"/>
      <c r="P10" s="122">
        <f t="shared" si="1"/>
        <v>30000</v>
      </c>
    </row>
    <row r="11">
      <c r="A11" s="75" t="s">
        <v>190</v>
      </c>
      <c r="C11" s="68">
        <v>3.128096727E9</v>
      </c>
      <c r="D11" s="68">
        <v>14.0</v>
      </c>
      <c r="E11" s="68" t="s">
        <v>181</v>
      </c>
      <c r="F11" s="68" t="s">
        <v>182</v>
      </c>
      <c r="G11" s="68" t="s">
        <v>188</v>
      </c>
      <c r="H11" s="121">
        <v>46082.0</v>
      </c>
      <c r="I11" s="51">
        <v>20000.0</v>
      </c>
      <c r="J11" s="69"/>
      <c r="K11" s="70"/>
      <c r="P11" s="122">
        <f t="shared" si="1"/>
        <v>20000</v>
      </c>
    </row>
    <row r="12">
      <c r="A12" s="75" t="s">
        <v>191</v>
      </c>
      <c r="H12" s="50">
        <v>46068.0</v>
      </c>
      <c r="I12" s="51">
        <v>28000.0</v>
      </c>
      <c r="J12" s="69"/>
      <c r="K12" s="70"/>
      <c r="P12" s="122">
        <f t="shared" si="1"/>
        <v>28000</v>
      </c>
    </row>
    <row r="13">
      <c r="A13" s="75" t="s">
        <v>192</v>
      </c>
      <c r="C13" s="68">
        <v>3.157440495E9</v>
      </c>
      <c r="D13" s="68">
        <v>14.0</v>
      </c>
      <c r="E13" s="68" t="s">
        <v>181</v>
      </c>
      <c r="F13" s="68" t="s">
        <v>182</v>
      </c>
      <c r="G13" s="68" t="s">
        <v>183</v>
      </c>
      <c r="H13" s="50">
        <v>46068.0</v>
      </c>
      <c r="I13" s="51">
        <v>30000.0</v>
      </c>
      <c r="J13" s="50">
        <v>46110.0</v>
      </c>
      <c r="K13" s="51">
        <v>50000.0</v>
      </c>
      <c r="P13" s="122">
        <f>SUM(I13+K13)</f>
        <v>80000</v>
      </c>
    </row>
    <row r="14">
      <c r="A14" s="75" t="s">
        <v>193</v>
      </c>
      <c r="C14" s="68">
        <v>3.226337657E9</v>
      </c>
      <c r="D14" s="76"/>
      <c r="E14" s="68" t="s">
        <v>181</v>
      </c>
      <c r="F14" s="68" t="s">
        <v>182</v>
      </c>
      <c r="G14" s="76"/>
      <c r="H14" s="50">
        <v>46104.0</v>
      </c>
      <c r="I14" s="51">
        <v>28000.0</v>
      </c>
      <c r="K14" s="70"/>
      <c r="P14" s="122">
        <f t="shared" ref="P14:P33" si="2">SUM(I14:O14)</f>
        <v>28000</v>
      </c>
    </row>
    <row r="15">
      <c r="A15" s="75" t="s">
        <v>194</v>
      </c>
      <c r="C15" s="68">
        <v>3.016851621E9</v>
      </c>
      <c r="D15" s="68">
        <v>14.0</v>
      </c>
      <c r="E15" s="68" t="s">
        <v>181</v>
      </c>
      <c r="F15" s="68" t="s">
        <v>182</v>
      </c>
      <c r="G15" s="68" t="s">
        <v>183</v>
      </c>
      <c r="H15" s="50">
        <v>46105.0</v>
      </c>
      <c r="I15" s="51">
        <v>50000.0</v>
      </c>
      <c r="K15" s="70"/>
      <c r="P15" s="122">
        <f t="shared" si="2"/>
        <v>50000</v>
      </c>
    </row>
    <row r="16">
      <c r="C16" s="76"/>
      <c r="D16" s="76"/>
      <c r="F16" s="76"/>
      <c r="G16" s="76"/>
      <c r="H16" s="76"/>
      <c r="I16" s="69"/>
      <c r="K16" s="70"/>
      <c r="P16" s="122">
        <f t="shared" si="2"/>
        <v>0</v>
      </c>
    </row>
    <row r="17">
      <c r="C17" s="76"/>
      <c r="D17" s="76"/>
      <c r="F17" s="76"/>
      <c r="G17" s="76"/>
      <c r="H17" s="76"/>
      <c r="I17" s="69"/>
      <c r="K17" s="70"/>
      <c r="P17" s="122">
        <f t="shared" si="2"/>
        <v>0</v>
      </c>
    </row>
    <row r="18">
      <c r="C18" s="76"/>
      <c r="D18" s="76"/>
      <c r="F18" s="76"/>
      <c r="G18" s="76"/>
      <c r="H18" s="76"/>
      <c r="I18" s="69"/>
      <c r="K18" s="70"/>
      <c r="P18" s="122">
        <f t="shared" si="2"/>
        <v>0</v>
      </c>
    </row>
    <row r="19">
      <c r="C19" s="76"/>
      <c r="D19" s="76"/>
      <c r="F19" s="76"/>
      <c r="G19" s="76"/>
      <c r="H19" s="76"/>
      <c r="I19" s="69"/>
      <c r="K19" s="70"/>
      <c r="P19" s="122">
        <f t="shared" si="2"/>
        <v>0</v>
      </c>
    </row>
    <row r="20">
      <c r="C20" s="76"/>
      <c r="D20" s="76"/>
      <c r="F20" s="76"/>
      <c r="G20" s="76"/>
      <c r="H20" s="76"/>
      <c r="I20" s="69"/>
      <c r="K20" s="70"/>
      <c r="P20" s="122">
        <f t="shared" si="2"/>
        <v>0</v>
      </c>
    </row>
    <row r="21">
      <c r="C21" s="76"/>
      <c r="D21" s="76"/>
      <c r="F21" s="76"/>
      <c r="G21" s="76"/>
      <c r="H21" s="76"/>
      <c r="I21" s="69"/>
      <c r="K21" s="70"/>
      <c r="P21" s="122">
        <f t="shared" si="2"/>
        <v>0</v>
      </c>
    </row>
    <row r="22">
      <c r="C22" s="76"/>
      <c r="D22" s="76"/>
      <c r="F22" s="76"/>
      <c r="G22" s="76"/>
      <c r="H22" s="76"/>
      <c r="I22" s="69"/>
      <c r="K22" s="70"/>
      <c r="P22" s="122">
        <f t="shared" si="2"/>
        <v>0</v>
      </c>
    </row>
    <row r="23">
      <c r="C23" s="76"/>
      <c r="D23" s="76"/>
      <c r="F23" s="76"/>
      <c r="G23" s="76"/>
      <c r="H23" s="76"/>
      <c r="I23" s="69"/>
      <c r="K23" s="70"/>
      <c r="P23" s="122">
        <f t="shared" si="2"/>
        <v>0</v>
      </c>
    </row>
    <row r="24">
      <c r="C24" s="76"/>
      <c r="D24" s="76"/>
      <c r="F24" s="76"/>
      <c r="G24" s="76"/>
      <c r="H24" s="76"/>
      <c r="I24" s="69"/>
      <c r="K24" s="70"/>
      <c r="P24" s="122">
        <f t="shared" si="2"/>
        <v>0</v>
      </c>
    </row>
    <row r="25">
      <c r="C25" s="76"/>
      <c r="D25" s="76"/>
      <c r="F25" s="76"/>
      <c r="G25" s="76"/>
      <c r="H25" s="76"/>
      <c r="I25" s="69"/>
      <c r="K25" s="70"/>
      <c r="P25" s="122">
        <f t="shared" si="2"/>
        <v>0</v>
      </c>
    </row>
    <row r="26">
      <c r="C26" s="76"/>
      <c r="D26" s="76"/>
      <c r="F26" s="76"/>
      <c r="G26" s="76"/>
      <c r="H26" s="76"/>
      <c r="I26" s="69"/>
      <c r="K26" s="70"/>
      <c r="P26" s="122">
        <f t="shared" si="2"/>
        <v>0</v>
      </c>
    </row>
    <row r="27">
      <c r="C27" s="76"/>
      <c r="D27" s="76"/>
      <c r="F27" s="76"/>
      <c r="G27" s="76"/>
      <c r="H27" s="76"/>
      <c r="I27" s="69"/>
      <c r="K27" s="70"/>
      <c r="P27" s="122">
        <f t="shared" si="2"/>
        <v>0</v>
      </c>
    </row>
    <row r="28">
      <c r="C28" s="76"/>
      <c r="D28" s="76"/>
      <c r="F28" s="76"/>
      <c r="G28" s="76"/>
      <c r="H28" s="76"/>
      <c r="I28" s="69"/>
      <c r="K28" s="70"/>
      <c r="P28" s="122">
        <f t="shared" si="2"/>
        <v>0</v>
      </c>
    </row>
    <row r="29">
      <c r="C29" s="76"/>
      <c r="D29" s="76"/>
      <c r="F29" s="76"/>
      <c r="G29" s="76"/>
      <c r="H29" s="76"/>
      <c r="I29" s="69"/>
      <c r="K29" s="70"/>
      <c r="P29" s="122">
        <f t="shared" si="2"/>
        <v>0</v>
      </c>
    </row>
    <row r="30">
      <c r="C30" s="76"/>
      <c r="D30" s="76"/>
      <c r="F30" s="76"/>
      <c r="G30" s="76"/>
      <c r="H30" s="76"/>
      <c r="I30" s="69"/>
      <c r="K30" s="70"/>
      <c r="P30" s="122">
        <f t="shared" si="2"/>
        <v>0</v>
      </c>
    </row>
    <row r="31">
      <c r="C31" s="76"/>
      <c r="D31" s="76"/>
      <c r="F31" s="76"/>
      <c r="G31" s="76"/>
      <c r="H31" s="76"/>
      <c r="I31" s="69"/>
      <c r="K31" s="70"/>
      <c r="P31" s="122">
        <f t="shared" si="2"/>
        <v>0</v>
      </c>
    </row>
    <row r="32">
      <c r="C32" s="76"/>
      <c r="D32" s="76"/>
      <c r="F32" s="76"/>
      <c r="G32" s="76"/>
      <c r="H32" s="76"/>
      <c r="I32" s="69"/>
      <c r="K32" s="70"/>
      <c r="P32" s="122">
        <f t="shared" si="2"/>
        <v>0</v>
      </c>
    </row>
    <row r="33">
      <c r="C33" s="76"/>
      <c r="D33" s="76"/>
      <c r="F33" s="76"/>
      <c r="G33" s="76"/>
      <c r="H33" s="76"/>
      <c r="I33" s="69"/>
      <c r="K33" s="70"/>
      <c r="P33" s="122">
        <f t="shared" si="2"/>
        <v>0</v>
      </c>
    </row>
    <row r="34">
      <c r="A34" s="117" t="s">
        <v>158</v>
      </c>
      <c r="C34" s="118"/>
      <c r="H34" s="118"/>
      <c r="J34" s="118"/>
      <c r="K34" s="118"/>
      <c r="L34" s="118"/>
      <c r="M34" s="118"/>
      <c r="N34" s="118"/>
      <c r="O34" s="118"/>
      <c r="P34" s="119">
        <f>SUM(P3:P33)</f>
        <v>522000</v>
      </c>
    </row>
    <row r="35">
      <c r="D35" s="70"/>
    </row>
  </sheetData>
  <mergeCells count="34">
    <mergeCell ref="A1:V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9:B29"/>
    <mergeCell ref="A30:B30"/>
    <mergeCell ref="A31:B31"/>
    <mergeCell ref="A32:B32"/>
    <mergeCell ref="A33:B33"/>
    <mergeCell ref="A34:B34"/>
    <mergeCell ref="A22:B22"/>
    <mergeCell ref="A23:B23"/>
    <mergeCell ref="A24:B24"/>
    <mergeCell ref="A25:B25"/>
    <mergeCell ref="A26:B26"/>
    <mergeCell ref="A27:B27"/>
    <mergeCell ref="A28:B28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41.0"/>
  </cols>
  <sheetData>
    <row r="1">
      <c r="A1" s="75" t="s">
        <v>195</v>
      </c>
    </row>
    <row r="3">
      <c r="C3" s="126" t="s">
        <v>196</v>
      </c>
      <c r="E3" s="126" t="s">
        <v>197</v>
      </c>
    </row>
    <row r="4">
      <c r="C4" s="127" t="s">
        <v>198</v>
      </c>
      <c r="E4" s="128">
        <f>'FINANZAS EXPLORADORES DEL REYFC'!D83</f>
        <v>852450</v>
      </c>
    </row>
    <row r="5">
      <c r="C5" s="127" t="s">
        <v>199</v>
      </c>
      <c r="E5" s="128">
        <f>'FINANZAS EXPLORADORES DEL REYFC'!T50</f>
        <v>102008</v>
      </c>
    </row>
    <row r="6">
      <c r="C6" s="127" t="s">
        <v>200</v>
      </c>
      <c r="E6" s="128">
        <f>'CAMPAMENTO "RAICES" 2026 - EXPL'!K34</f>
        <v>259000</v>
      </c>
    </row>
    <row r="7">
      <c r="C7" s="127" t="s">
        <v>201</v>
      </c>
      <c r="E7" s="128">
        <f>'CAMPAMENTO "RAICES" 2026 - SERV'!P34</f>
        <v>522000</v>
      </c>
    </row>
    <row r="8">
      <c r="C8" s="127" t="s">
        <v>202</v>
      </c>
      <c r="E8" s="128">
        <f>'SERVICIO SOCIAL '!R42</f>
        <v>675000</v>
      </c>
    </row>
    <row r="10">
      <c r="C10" s="129" t="s">
        <v>203</v>
      </c>
      <c r="E10" s="130">
        <f>SUM(E4:F9)</f>
        <v>2410458</v>
      </c>
    </row>
  </sheetData>
  <mergeCells count="16">
    <mergeCell ref="C6:D6"/>
    <mergeCell ref="C7:D7"/>
    <mergeCell ref="C8:D8"/>
    <mergeCell ref="C9:D9"/>
    <mergeCell ref="C10:D10"/>
    <mergeCell ref="E7:F7"/>
    <mergeCell ref="E8:F8"/>
    <mergeCell ref="E9:F9"/>
    <mergeCell ref="E10:F10"/>
    <mergeCell ref="C3:D3"/>
    <mergeCell ref="E3:F3"/>
    <mergeCell ref="C4:D4"/>
    <mergeCell ref="E4:F4"/>
    <mergeCell ref="C5:D5"/>
    <mergeCell ref="E5:F5"/>
    <mergeCell ref="E6:F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2025-08-15T00:45:00Z</dcterms:created>
  <dc:creator>SANDRA GARCIA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465C7AB4E97741CFA997183F95D8CC5E_12</vt:lpwstr>
  </property>
  <property fmtid="{D5CDD505-2E9C-101B-9397-08002B2CF9AE}" pid="3" name="KSOProductBuildVer">
    <vt:lpwstr>2058-12.2.0.21931</vt:lpwstr>
  </property>
</Properties>
</file>